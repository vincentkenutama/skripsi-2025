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Skripsi\Dokumen\TAS\Analisis Data\"/>
    </mc:Choice>
  </mc:AlternateContent>
  <xr:revisionPtr revIDLastSave="0" documentId="13_ncr:1_{5B7AB9F3-5A9E-45C8-80F8-FA5525149C2B}" xr6:coauthVersionLast="47" xr6:coauthVersionMax="47" xr10:uidLastSave="{00000000-0000-0000-0000-000000000000}"/>
  <bookViews>
    <workbookView xWindow="-105" yWindow="0" windowWidth="14610" windowHeight="15585" activeTab="1" xr2:uid="{00000000-000D-0000-FFFF-FFFF00000000}"/>
  </bookViews>
  <sheets>
    <sheet name="Chart1" sheetId="2" r:id="rId1"/>
    <sheet name="Form Responses 1" sheetId="1" r:id="rId2"/>
    <sheet name="Sheet1"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3" l="1"/>
  <c r="B66" i="3"/>
  <c r="B67" i="3"/>
  <c r="B64" i="3"/>
  <c r="B40" i="3"/>
  <c r="B41" i="3"/>
  <c r="B42" i="3"/>
  <c r="B43" i="3"/>
  <c r="B44" i="3"/>
  <c r="B45" i="3"/>
  <c r="B46" i="3"/>
  <c r="B47" i="3"/>
  <c r="B48" i="3"/>
  <c r="B49" i="3"/>
  <c r="B50" i="3"/>
  <c r="B51" i="3"/>
  <c r="B52" i="3"/>
  <c r="B53" i="3"/>
  <c r="B54" i="3"/>
  <c r="B55" i="3"/>
  <c r="B56" i="3"/>
  <c r="B57" i="3"/>
  <c r="B58" i="3"/>
  <c r="B59" i="3"/>
  <c r="B60" i="3"/>
  <c r="B61" i="3"/>
  <c r="B62" i="3"/>
  <c r="B34" i="3"/>
  <c r="B35" i="3"/>
  <c r="B36" i="3"/>
  <c r="B37" i="3"/>
  <c r="B38" i="3"/>
  <c r="B39" i="3"/>
  <c r="B33" i="3"/>
  <c r="B32" i="3"/>
  <c r="D31" i="3"/>
  <c r="E31" i="3"/>
  <c r="F31" i="3"/>
  <c r="G31" i="3"/>
  <c r="H31" i="3"/>
  <c r="I31" i="3"/>
  <c r="J31" i="3"/>
  <c r="K31" i="3"/>
  <c r="L31" i="3"/>
  <c r="M31" i="3"/>
  <c r="N31" i="3"/>
  <c r="O31" i="3"/>
  <c r="P31" i="3"/>
  <c r="Q31" i="3"/>
  <c r="R31" i="3"/>
  <c r="S31" i="3"/>
  <c r="T31" i="3"/>
  <c r="U31" i="3"/>
  <c r="C31" i="3"/>
  <c r="B31" i="3"/>
  <c r="F35" i="1"/>
  <c r="F34" i="1"/>
  <c r="B39" i="1"/>
  <c r="F33" i="1"/>
  <c r="B35" i="1"/>
  <c r="B34" i="1"/>
  <c r="B33" i="1"/>
  <c r="E33" i="1" l="1"/>
  <c r="C34" i="1"/>
  <c r="B37" i="1"/>
  <c r="D33" i="1"/>
  <c r="D35" i="1"/>
  <c r="G35" i="1" s="1"/>
  <c r="E34" i="1"/>
  <c r="D34" i="1"/>
  <c r="G34" i="1" s="1"/>
  <c r="C35" i="1"/>
  <c r="E35" i="1"/>
  <c r="C33" i="1"/>
  <c r="F37" i="1"/>
  <c r="C37" i="1" l="1"/>
  <c r="E37" i="1"/>
  <c r="D37" i="1"/>
  <c r="G37" i="1" s="1"/>
  <c r="G33" i="1"/>
</calcChain>
</file>

<file path=xl/sharedStrings.xml><?xml version="1.0" encoding="utf-8"?>
<sst xmlns="http://schemas.openxmlformats.org/spreadsheetml/2006/main" count="166" uniqueCount="134">
  <si>
    <t>Timestamp</t>
  </si>
  <si>
    <t>Email</t>
  </si>
  <si>
    <t>Nama Lengkap</t>
  </si>
  <si>
    <t>NIM</t>
  </si>
  <si>
    <t>Angkatan</t>
  </si>
  <si>
    <t>Kelas</t>
  </si>
  <si>
    <t xml:space="preserve">1. Simulator sebagai media pembelajaran Kinematika dan Navigasi Swerve Drive Autonomous Mobile Robot membantu pemahaman prinsip kerja dan model kinematika sistem robot berbasis Swerve Drive. </t>
  </si>
  <si>
    <t>2. Penggunaan simulator sebagai media pembelajaran menambah pengetahuan peserta didik tentang cara kerja algoritma Pure Pursuit dalam mengikuti sebuah lintasan.</t>
  </si>
  <si>
    <t>3. Visualisasi 3D robot di Unity secara jelas menunjukkan bagaimana setiap modul roda berotasi dan berputar untuk menghasilkan gerakan robot.</t>
  </si>
  <si>
    <t>4. Materi pembelajaran pada modul dan labsheet disajikan secara jelas dan mudah dipahami.</t>
  </si>
  <si>
    <t>5. Mengamati hubungan visual antara posisi robot, titik target, dan garis lookahead pada dashboard memberikan wawasan baru tentang cara kerja Pure Pursuit.</t>
  </si>
  <si>
    <t>6. Media pembelajaran berbasis simulator ini memberikan pemahaman praktis tentang tantangan navigasi robot otonom yang tidak didapatkan hanya dari membaca teori.</t>
  </si>
  <si>
    <t>7. Dashboard Python memiliki tampilan yang terorganisir dan mudah untuk dimengerti didukung dengan materi petunjuk pada labsheet dan modul Simulator Kinematika dan Navigasi Swerve Drive yang lebih memperjelas penggunaan.</t>
  </si>
  <si>
    <t>8. Pengoperasian software Unity untuk simulasi dijelaskan secara detil melalui labsheet dan modul Simulator Kinematika dan Navigasi Swerve Drive.</t>
  </si>
  <si>
    <t>9. Sifat interaktif dari simulator (melihat perubahan secara langsung) mendorong peserta didik untuk lebih aktif mencoba dan bereksperimen.</t>
  </si>
  <si>
    <t xml:space="preserve">10.  Penggunaan media pembelajaran berbasis simulator membuat peserta didik lebih percaya diri untuk mencoba berbagai skenario dan menguji pengaruh parameter pengendalian karena tidak ada risiko merusak perangkat keras.  </t>
  </si>
  <si>
    <t>11. Penyajian informasi melalui tiga cara (visual 3D, plot 2D, dan teks data) membantu peserta didik memahami konsep dari berbagai sudut pandang.</t>
  </si>
  <si>
    <t>12. Tampilan visual dan interaktif pada simulator, seperti fitur zoom dan navigasi grafik, membantu peserta didik memahami materi secara lebih bervariasi dan menarik.</t>
  </si>
  <si>
    <t>13. Penggunaan simulator ini secara signifikan meningkatkan pemahaman peserta didik tentang implementasi kinematika Swerve Drive.</t>
  </si>
  <si>
    <t>14. Saya merasa lebih percaya diri untuk menjelaskan atau menerapkan algoritma pelacakan jalur setelah menggunakan media pembelajaran Simulator Kinematika dan Navigasi Swerve Drive.</t>
  </si>
  <si>
    <t>15. Prosedur untuk menjalankan dan menghubungkan simulator Unity dengan dashboard Python mudah untuk diikuti melalui petunjuk penggunaan pada Simulator Kinematika dan Navigasi Swerve Drive.</t>
  </si>
  <si>
    <t>16.  Petunjuk instalasi dan pengoperasian simulator yang dijelaskan di dalam modul Simulator Kinematika dan Navigasi Swerve Drive cukup jelas untuk diikuti.</t>
  </si>
  <si>
    <t>17. Menggunakan simulator sesuai panduan labsheet mempercepat proses pemahaman peserta didik karena dapat mengamati secara langsung perubahan dan respon sistem terhadap parameter yang diberikan.</t>
  </si>
  <si>
    <t>18.  Simulator ini mengurangi usaha dan waktu yang saya habiskan untuk mencari kesalahan (debugging), sehingga peserta didik bisa lebih fokus pada pemahaman konsep inti yang diajarkan di modul.</t>
  </si>
  <si>
    <t>19. Penggunaan simulator sebagai media pembelajaran lebih interaktif dan menarik karena memberikan pengalaman yang mirip dengan kondisi robot sebenarnya.</t>
  </si>
  <si>
    <t>20.  Media pembelajaran berbasis simulator dapat menunjukkan aplikasi nyata dari teori yang rumit, sehingga memotivasi peserta didik karena dapat melihat relevansi dan kegunaan dari apa yang telah dipelajari pada teori.</t>
  </si>
  <si>
    <t>Kritik dan Saran</t>
  </si>
  <si>
    <t>ariefyuli.2021@student.uny.ac.id</t>
  </si>
  <si>
    <t>Arief Yuli Nugroho</t>
  </si>
  <si>
    <t>E</t>
  </si>
  <si>
    <t>-</t>
  </si>
  <si>
    <t>juanega.2021@student.uny.ac.id</t>
  </si>
  <si>
    <t>Juan Ega Saputra</t>
  </si>
  <si>
    <t>Sudah bagus dan sangat membantu pemahaman</t>
  </si>
  <si>
    <t>maherlinafatoni.2021@student.uny.ac.id</t>
  </si>
  <si>
    <t>Maherlina Fatoni</t>
  </si>
  <si>
    <t>nurafiani.2022@student.uny.ac.id</t>
  </si>
  <si>
    <t xml:space="preserve">Nur Afiani Qonina </t>
  </si>
  <si>
    <t>Media pembelajaran "Simulator Kinematika dan Navigasi Swerve Drive" ini sangat membantu peserta didik. Tampilan visual dan interaktif pada simulator, seperti fitur zoom dan navigasi grafik, membantu peserta didik memahami materi secara lebih bervariasi dan menarik.</t>
  </si>
  <si>
    <t>raihanthariq4@gmail.com</t>
  </si>
  <si>
    <t>Raihan Thariq Aziz</t>
  </si>
  <si>
    <t>sudah baik</t>
  </si>
  <si>
    <t>razaannibras.2021@student.uny.ac.id</t>
  </si>
  <si>
    <t xml:space="preserve">Razaan Nibras Majid </t>
  </si>
  <si>
    <t>F</t>
  </si>
  <si>
    <t>Sudah sangat baik</t>
  </si>
  <si>
    <t>akbarnew700@gmail.com</t>
  </si>
  <si>
    <t xml:space="preserve">Husein Akbar Nur Rohman </t>
  </si>
  <si>
    <t>Sudah bagus</t>
  </si>
  <si>
    <t>akbararrazzaq.2021@student.uny.ac.id</t>
  </si>
  <si>
    <t>Akbar Arrazzaq</t>
  </si>
  <si>
    <t>sudah bagus, langsung lulus wae mas</t>
  </si>
  <si>
    <t>laurentiusgabriel.2021@student.uny.ac.id</t>
  </si>
  <si>
    <t>Laurentius Gabriel Krishna Pradipta</t>
  </si>
  <si>
    <t>bagusputra.2021@student.uny.ac.id</t>
  </si>
  <si>
    <t>Bagus Putra Setiyawan</t>
  </si>
  <si>
    <t>Auliashabrina.2022@student.uny.ac.id</t>
  </si>
  <si>
    <t xml:space="preserve">Aulia Shabrina Yuliani </t>
  </si>
  <si>
    <t>novebritito.2021@student.uny.ac.id</t>
  </si>
  <si>
    <t>Novebri Tito Ramadhani</t>
  </si>
  <si>
    <t>Modul pembelajaran nya sudah bagus dan mudah diikuti oleh pengguna</t>
  </si>
  <si>
    <t>alfinautami.2021@student.uny.ac.id</t>
  </si>
  <si>
    <t>Alfina Utami</t>
  </si>
  <si>
    <t>TAS Kinematika dan Navigasi Swere Drive dapat lebih bersifat interaktif.</t>
  </si>
  <si>
    <t>dewinur.2021@student.uny.ac.id</t>
  </si>
  <si>
    <t xml:space="preserve">Dewi Nur </t>
  </si>
  <si>
    <t>J</t>
  </si>
  <si>
    <t xml:space="preserve">Semangat </t>
  </si>
  <si>
    <t>dianissa3434ft.2021@student.uny.ac.id</t>
  </si>
  <si>
    <t>Dianissa Salsabila Dianty</t>
  </si>
  <si>
    <t>alifia40ft.2020@student.uny.ac.id</t>
  </si>
  <si>
    <t>Alifia Putri Qabila</t>
  </si>
  <si>
    <t>Mungkin dapat ditambahkan bab refleksi atau “troubleshooting umum” yang mungkin muncul saat simulasi pada labsheet. Misalnya: “Unity tidak menerima input dari Python”, “grafik tidak muncul”, dll.</t>
  </si>
  <si>
    <t>handoyotriwahyu@gmail.com</t>
  </si>
  <si>
    <t>Tri Wahyu Handoyo</t>
  </si>
  <si>
    <t>Mungkin lebih ditambah lagi animasinya, dan bisa dibuat lebih open source lagi, dimana peserta bisa explore lebih seperti menentukan path dan sebagainya 🙏🏻</t>
  </si>
  <si>
    <t>Syafrizalghifari.2022@student.uny.ac.id</t>
  </si>
  <si>
    <t xml:space="preserve">Syafrizal Ghifari </t>
  </si>
  <si>
    <t>Tingkatkan</t>
  </si>
  <si>
    <t>shevanovia.2021@student.uny.ac.id</t>
  </si>
  <si>
    <t>Sheva Novia Darmawan Sutopo</t>
  </si>
  <si>
    <t>Yess</t>
  </si>
  <si>
    <t xml:space="preserve">jonathantamunu05@gmail.com </t>
  </si>
  <si>
    <t xml:space="preserve">Jonathan Alfa Gustaf Tamunu </t>
  </si>
  <si>
    <t>Penggunaan media pembelajaran berbasis simulator memang memudahkan dalam hal trial and error. Tapi mungkin beberapa device mahasiswa tidak cukup kuat. Mungkin bisa ditambahkan saran spesifikasi device di dalam buku panduan</t>
  </si>
  <si>
    <t>yasabryan@gmail.com</t>
  </si>
  <si>
    <t xml:space="preserve">Ahmad Sabryan </t>
  </si>
  <si>
    <t>Sudah sesuai Dari kualitas bahan produk sangat bagus</t>
  </si>
  <si>
    <t>Cahyadwiyuanto.2021@student.uny.ac.id</t>
  </si>
  <si>
    <t>Cahya Dwiyuanto</t>
  </si>
  <si>
    <t>Perlu adanya pengembangan lebih lanjut tapi sudah sangat bagus</t>
  </si>
  <si>
    <t>raiyayusuf.p@gmail.com</t>
  </si>
  <si>
    <t>Raiya Yusuf Priatmojo</t>
  </si>
  <si>
    <t>Simulator Kinematika dan Navigasi Swerve Drive ini sangat membantu dalam memahami konsep secara visual dan interaktif, namun akan lebih baik jika dilengkapi dengan video tutorial atau contoh kasus yang lebih beragam untuk memudahkan pemula. Selain itu, penambahan fitur simulasi gangguan (noise) atau kesalahan umum dalam navigasi otonom bisa memperkaya pengalaman belajar. Secara keseluruhan, media ini sudah sangat baik, hanya perlu sedikit penyempurnaan untuk meningkatkan kedalaman dan kemudahan akses pembelajaran.</t>
  </si>
  <si>
    <t>rianamelisa.2021@student.uny.ac.id</t>
  </si>
  <si>
    <t xml:space="preserve">RIANA MELISA CANTIK </t>
  </si>
  <si>
    <t>Pengembangan sudah bagus karena lengkap dengan buku panduan dan labsheet</t>
  </si>
  <si>
    <t>khafiizhahmad.2021@student.uny.ac.id</t>
  </si>
  <si>
    <t>Khafiizh Ahmad M</t>
  </si>
  <si>
    <t>Dibuatnya 1 aplikasi kusus simulasi seperti software simulasi ciros milik festo sehingga lebih memudahkan lagi dalam penggunaan media pembelajaran.</t>
  </si>
  <si>
    <t>adiirawanmuhammad25@gmail.com</t>
  </si>
  <si>
    <t>Muhammad Adi Irawan</t>
  </si>
  <si>
    <t xml:space="preserve">Mungkin tambahan fitur panduan interaktif dan visualisasi gerakan yang lebih jelas agar pengguna dapat memahami konsep kinematika dan navigasi Swerve Drive dengan lebih cepat dan menarik
</t>
  </si>
  <si>
    <t>gigihjean.2021@student.uny.ac.id</t>
  </si>
  <si>
    <t>Gigih Jean Fariellana</t>
  </si>
  <si>
    <t>Sudah baik</t>
  </si>
  <si>
    <t>adityaelmadhani.2021@student.uny.ac.id</t>
  </si>
  <si>
    <t>Aditya Elmadhani Whilujeng</t>
  </si>
  <si>
    <t xml:space="preserve">Sudah sangat baik dan bagus
</t>
  </si>
  <si>
    <t>xcan1413@gmail.com</t>
  </si>
  <si>
    <t>Ikhsan Rasyid Arianto</t>
  </si>
  <si>
    <t>Sangat baik sekali</t>
  </si>
  <si>
    <t>safira0870ft.2021@student.uny.ac.id</t>
  </si>
  <si>
    <t>Safira Dwi Saharani</t>
  </si>
  <si>
    <t>Simulator ini sudah cukup menarik dan bermanfaat untuk memahami konsep kinematika dan navigasi Swerve Drive, apalagi sudah dilengkapi panduan penggunaan yang jelas sehingga memudahkan pengguna dalam praktik pembelajaran robotika.</t>
  </si>
  <si>
    <t>Kualitas Isi dan Tujuan</t>
  </si>
  <si>
    <t>Butir</t>
  </si>
  <si>
    <t>Kualitas Pembelajaran</t>
  </si>
  <si>
    <t>Penggunaan</t>
  </si>
  <si>
    <t>Total</t>
  </si>
  <si>
    <t>Smin</t>
  </si>
  <si>
    <t>Smaks</t>
  </si>
  <si>
    <t xml:space="preserve">Avg </t>
  </si>
  <si>
    <t>Skor</t>
  </si>
  <si>
    <t>Jumlah Mahasiswa</t>
  </si>
  <si>
    <t>Persentase</t>
  </si>
  <si>
    <t>Varians P</t>
  </si>
  <si>
    <t>Varians Butir</t>
  </si>
  <si>
    <t>Total Skor</t>
  </si>
  <si>
    <t>Varians Total Skor</t>
  </si>
  <si>
    <t>k</t>
  </si>
  <si>
    <t>Σs_i^2 </t>
  </si>
  <si>
    <t>s_t^2</t>
  </si>
  <si>
    <t>Alpha Cronbach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</si>
</sst>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family val="2"/>
      <scheme val="minor"/>
    </font>
    <font>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4" tint="0.79998168889431442"/>
        <bgColor indexed="64"/>
      </patternFill>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2" fillId="0" borderId="0" xfId="0" applyFont="1"/>
    <xf numFmtId="0" fontId="1" fillId="4" borderId="1" xfId="0" applyFont="1" applyFill="1" applyBorder="1" applyAlignment="1">
      <alignment horizontal="left" vertical="center"/>
    </xf>
    <xf numFmtId="0" fontId="1" fillId="4" borderId="2" xfId="0" applyFont="1" applyFill="1" applyBorder="1" applyAlignment="1">
      <alignment horizontal="left" vertical="center"/>
    </xf>
    <xf numFmtId="0" fontId="1" fillId="4" borderId="3" xfId="0" applyFont="1" applyFill="1" applyBorder="1" applyAlignment="1">
      <alignment horizontal="left" vertical="center"/>
    </xf>
    <xf numFmtId="0" fontId="0" fillId="4" borderId="0" xfId="0" applyFill="1"/>
    <xf numFmtId="9" fontId="0" fillId="0" borderId="0" xfId="1" applyFont="1"/>
    <xf numFmtId="10" fontId="0" fillId="0" borderId="0" xfId="0" applyNumberFormat="1"/>
    <xf numFmtId="0" fontId="1" fillId="2" borderId="5" xfId="0" applyFont="1" applyFill="1" applyBorder="1" applyAlignment="1">
      <alignment vertical="center"/>
    </xf>
    <xf numFmtId="0" fontId="1" fillId="3" borderId="5" xfId="0" applyFont="1" applyFill="1" applyBorder="1" applyAlignment="1">
      <alignment vertical="center"/>
    </xf>
    <xf numFmtId="0" fontId="1" fillId="2" borderId="8" xfId="0" applyFont="1" applyFill="1" applyBorder="1" applyAlignment="1">
      <alignment vertical="center"/>
    </xf>
    <xf numFmtId="0" fontId="1" fillId="3" borderId="8" xfId="0" applyFont="1" applyFill="1" applyBorder="1" applyAlignment="1">
      <alignment vertical="center"/>
    </xf>
    <xf numFmtId="0" fontId="1" fillId="3" borderId="11" xfId="0" applyFont="1" applyFill="1" applyBorder="1" applyAlignment="1">
      <alignment vertical="center"/>
    </xf>
    <xf numFmtId="2" fontId="0" fillId="0" borderId="0" xfId="0" applyNumberFormat="1"/>
  </cellXfs>
  <cellStyles count="2">
    <cellStyle name="Normal" xfId="0" builtinId="0"/>
    <cellStyle name="Percent" xfId="1" builtinId="5"/>
  </cellStyles>
  <dxfs count="4">
    <dxf>
      <fill>
        <patternFill patternType="solid">
          <fgColor indexed="64"/>
          <bgColor theme="4" tint="0.79998168889431442"/>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1'!$A$37</c:f>
              <c:strCache>
                <c:ptCount val="1"/>
                <c:pt idx="0">
                  <c:v>Total</c:v>
                </c:pt>
              </c:strCache>
            </c:strRef>
          </c:tx>
          <c:spPr>
            <a:solidFill>
              <a:schemeClr val="accent1"/>
            </a:solidFill>
            <a:ln>
              <a:noFill/>
            </a:ln>
            <a:effectLst/>
          </c:spPr>
          <c:invertIfNegative val="0"/>
          <c:val>
            <c:numRef>
              <c:f>'Form Responses 1'!$B$37:$G$37</c:f>
              <c:numCache>
                <c:formatCode>General</c:formatCode>
                <c:ptCount val="6"/>
                <c:pt idx="0">
                  <c:v>20</c:v>
                </c:pt>
                <c:pt idx="1">
                  <c:v>600</c:v>
                </c:pt>
                <c:pt idx="2">
                  <c:v>2400</c:v>
                </c:pt>
                <c:pt idx="3">
                  <c:v>70.766666666666666</c:v>
                </c:pt>
                <c:pt idx="4">
                  <c:v>2123</c:v>
                </c:pt>
                <c:pt idx="5" formatCode="0.00%">
                  <c:v>0.88458333333333339</c:v>
                </c:pt>
              </c:numCache>
            </c:numRef>
          </c:val>
          <c:extLst>
            <c:ext xmlns:c16="http://schemas.microsoft.com/office/drawing/2014/chart" uri="{C3380CC4-5D6E-409C-BE32-E72D297353CC}">
              <c16:uniqueId val="{00000000-5D11-42B0-9CEC-6D6AFC8929CD}"/>
            </c:ext>
          </c:extLst>
        </c:ser>
        <c:dLbls>
          <c:showLegendKey val="0"/>
          <c:showVal val="0"/>
          <c:showCatName val="0"/>
          <c:showSerName val="0"/>
          <c:showPercent val="0"/>
          <c:showBubbleSize val="0"/>
        </c:dLbls>
        <c:gapWidth val="219"/>
        <c:overlap val="-27"/>
        <c:axId val="1778969471"/>
        <c:axId val="1778962271"/>
      </c:barChart>
      <c:catAx>
        <c:axId val="17789694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62271"/>
        <c:crosses val="autoZero"/>
        <c:auto val="1"/>
        <c:lblAlgn val="ctr"/>
        <c:lblOffset val="100"/>
        <c:noMultiLvlLbl val="0"/>
      </c:catAx>
      <c:valAx>
        <c:axId val="177896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96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Rerata Hasil Tanggapan Pengguna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1'!$A$33</c:f>
              <c:strCache>
                <c:ptCount val="1"/>
                <c:pt idx="0">
                  <c:v>Kualitas Isi dan Tujuan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1'!$E$33</c:f>
              <c:numCache>
                <c:formatCode>0.00</c:formatCode>
                <c:ptCount val="1"/>
                <c:pt idx="0">
                  <c:v>20.433333333333334</c:v>
                </c:pt>
              </c:numCache>
            </c:numRef>
          </c:val>
          <c:extLst>
            <c:ext xmlns:c16="http://schemas.microsoft.com/office/drawing/2014/chart" uri="{C3380CC4-5D6E-409C-BE32-E72D297353CC}">
              <c16:uniqueId val="{00000000-54ED-4CA8-B564-3B1F7C6B55B2}"/>
            </c:ext>
          </c:extLst>
        </c:ser>
        <c:ser>
          <c:idx val="1"/>
          <c:order val="1"/>
          <c:tx>
            <c:strRef>
              <c:f>'Form Responses 1'!$A$34</c:f>
              <c:strCache>
                <c:ptCount val="1"/>
                <c:pt idx="0">
                  <c:v>Kualitas Pembelajaran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1'!$E$34</c:f>
              <c:numCache>
                <c:formatCode>0.00</c:formatCode>
                <c:ptCount val="1"/>
                <c:pt idx="0">
                  <c:v>29.833333333333332</c:v>
                </c:pt>
              </c:numCache>
            </c:numRef>
          </c:val>
          <c:extLst>
            <c:ext xmlns:c16="http://schemas.microsoft.com/office/drawing/2014/chart" uri="{C3380CC4-5D6E-409C-BE32-E72D297353CC}">
              <c16:uniqueId val="{00000001-54ED-4CA8-B564-3B1F7C6B55B2}"/>
            </c:ext>
          </c:extLst>
        </c:ser>
        <c:ser>
          <c:idx val="2"/>
          <c:order val="2"/>
          <c:tx>
            <c:strRef>
              <c:f>'Form Responses 1'!$A$35</c:f>
              <c:strCache>
                <c:ptCount val="1"/>
                <c:pt idx="0">
                  <c:v>Penggunaan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1'!$E$35</c:f>
              <c:numCache>
                <c:formatCode>0.00</c:formatCode>
                <c:ptCount val="1"/>
                <c:pt idx="0">
                  <c:v>20.5</c:v>
                </c:pt>
              </c:numCache>
            </c:numRef>
          </c:val>
          <c:extLst>
            <c:ext xmlns:c16="http://schemas.microsoft.com/office/drawing/2014/chart" uri="{C3380CC4-5D6E-409C-BE32-E72D297353CC}">
              <c16:uniqueId val="{00000002-54ED-4CA8-B564-3B1F7C6B55B2}"/>
            </c:ext>
          </c:extLst>
        </c:ser>
        <c:dLbls>
          <c:dLblPos val="outEnd"/>
          <c:showLegendKey val="0"/>
          <c:showVal val="1"/>
          <c:showCatName val="0"/>
          <c:showSerName val="0"/>
          <c:showPercent val="0"/>
          <c:showBubbleSize val="0"/>
        </c:dLbls>
        <c:gapWidth val="219"/>
        <c:overlap val="-27"/>
        <c:axId val="1452213071"/>
        <c:axId val="1452210191"/>
      </c:barChart>
      <c:catAx>
        <c:axId val="145221307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Aspek Penilaian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crossAx val="1452210191"/>
        <c:crosses val="autoZero"/>
        <c:auto val="1"/>
        <c:lblAlgn val="ctr"/>
        <c:lblOffset val="100"/>
        <c:noMultiLvlLbl val="0"/>
      </c:catAx>
      <c:valAx>
        <c:axId val="14522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Rerata Penilaian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1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Persentase Hasil Tanggapan Pengguna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'Form Responses 1'!$A$33</c:f>
              <c:strCache>
                <c:ptCount val="1"/>
                <c:pt idx="0">
                  <c:v>Kualitas Isi dan Tujuan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1'!$E$33</c:f>
              <c:numCache>
                <c:formatCode>0.00</c:formatCode>
                <c:ptCount val="1"/>
                <c:pt idx="0">
                  <c:v>20.433333333333334</c:v>
                </c:pt>
              </c:numCache>
            </c:numRef>
          </c:val>
          <c:extLst>
            <c:ext xmlns:c16="http://schemas.microsoft.com/office/drawing/2014/chart" uri="{C3380CC4-5D6E-409C-BE32-E72D297353CC}">
              <c16:uniqueId val="{00000000-54ED-4CA8-B564-3B1F7C6B55B2}"/>
            </c:ext>
          </c:extLst>
        </c:ser>
        <c:ser>
          <c:idx val="1"/>
          <c:order val="1"/>
          <c:tx>
            <c:strRef>
              <c:f>'Form Responses 1'!$A$34</c:f>
              <c:strCache>
                <c:ptCount val="1"/>
                <c:pt idx="0">
                  <c:v>Kualitas Pembelajaran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1'!$E$34</c:f>
              <c:numCache>
                <c:formatCode>0.00</c:formatCode>
                <c:ptCount val="1"/>
                <c:pt idx="0">
                  <c:v>29.833333333333332</c:v>
                </c:pt>
              </c:numCache>
            </c:numRef>
          </c:val>
          <c:extLst>
            <c:ext xmlns:c16="http://schemas.microsoft.com/office/drawing/2014/chart" uri="{C3380CC4-5D6E-409C-BE32-E72D297353CC}">
              <c16:uniqueId val="{00000001-54ED-4CA8-B564-3B1F7C6B55B2}"/>
            </c:ext>
          </c:extLst>
        </c:ser>
        <c:ser>
          <c:idx val="2"/>
          <c:order val="2"/>
          <c:tx>
            <c:strRef>
              <c:f>'Form Responses 1'!$A$35</c:f>
              <c:strCache>
                <c:ptCount val="1"/>
                <c:pt idx="0">
                  <c:v>Penggunaan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'Form Responses 1'!$E$35</c:f>
              <c:numCache>
                <c:formatCode>0.00</c:formatCode>
                <c:ptCount val="1"/>
                <c:pt idx="0">
                  <c:v>20.5</c:v>
                </c:pt>
              </c:numCache>
            </c:numRef>
          </c:val>
          <c:extLst>
            <c:ext xmlns:c16="http://schemas.microsoft.com/office/drawing/2014/chart" uri="{C3380CC4-5D6E-409C-BE32-E72D297353CC}">
              <c16:uniqueId val="{00000002-54ED-4CA8-B564-3B1F7C6B55B2}"/>
            </c:ext>
          </c:extLst>
        </c:ser>
        <c:dLbls>
          <c:dLblPos val="outEnd"/>
          <c:showLegendKey val="0"/>
          <c:showVal val="1"/>
          <c:showCatName val="0"/>
          <c:showSerName val="0"/>
          <c:showPercent val="0"/>
          <c:showBubbleSize val="0"/>
        </c:dLbls>
        <c:gapWidth val="219"/>
        <c:overlap val="-27"/>
        <c:axId val="1452213071"/>
        <c:axId val="1452210191"/>
      </c:barChart>
      <c:catAx>
        <c:axId val="145221307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Aspek Penilaian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crossAx val="1452210191"/>
        <c:crosses val="autoZero"/>
        <c:auto val="1"/>
        <c:lblAlgn val="ctr"/>
        <c:lblOffset val="100"/>
        <c:noMultiLvlLbl val="0"/>
      </c:catAx>
      <c:valAx>
        <c:axId val="14522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Persentase Penilaian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1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777030E-F320-4B73-B529-A2CDA271578D}">
  <sheetPr/>
  <sheetViews>
    <sheetView zoomScale="7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65882" cy="6293971"/>
    <xdr:graphicFrame macro="">
      <xdr:nvGraphicFramePr>
        <xdr:cNvPr id="2" name="Chart 1">
          <a:extLst>
            <a:ext uri="{FF2B5EF4-FFF2-40B4-BE49-F238E27FC236}">
              <a16:creationId xmlns:a16="http://schemas.microsoft.com/office/drawing/2014/main" id="{F74B4224-C09F-5A45-8A37-5F3EF8A2FEC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0</xdr:col>
      <xdr:colOff>0</xdr:colOff>
      <xdr:row>40</xdr:row>
      <xdr:rowOff>123825</xdr:rowOff>
    </xdr:from>
    <xdr:to>
      <xdr:col>2</xdr:col>
      <xdr:colOff>1762125</xdr:colOff>
      <xdr:row>54</xdr:row>
      <xdr:rowOff>66675</xdr:rowOff>
    </xdr:to>
    <xdr:graphicFrame macro="">
      <xdr:nvGraphicFramePr>
        <xdr:cNvPr id="3" name="Chart 2">
          <a:extLst>
            <a:ext uri="{FF2B5EF4-FFF2-40B4-BE49-F238E27FC236}">
              <a16:creationId xmlns:a16="http://schemas.microsoft.com/office/drawing/2014/main" id="{851DA2C8-0C05-4C2E-9CF6-9E0727940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56</xdr:row>
      <xdr:rowOff>0</xdr:rowOff>
    </xdr:from>
    <xdr:to>
      <xdr:col>2</xdr:col>
      <xdr:colOff>1762125</xdr:colOff>
      <xdr:row>69</xdr:row>
      <xdr:rowOff>142875</xdr:rowOff>
    </xdr:to>
    <xdr:graphicFrame macro="">
      <xdr:nvGraphicFramePr>
        <xdr:cNvPr id="4" name="Chart 3">
          <a:extLst>
            <a:ext uri="{FF2B5EF4-FFF2-40B4-BE49-F238E27FC236}">
              <a16:creationId xmlns:a16="http://schemas.microsoft.com/office/drawing/2014/main" id="{10D9AFB0-9F91-3DFE-43C6-0C759B928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kripsi\Dokumen\TAS\Analisis%20Data\Hasil%20Analisis%20Penilaian.xlsx" TargetMode="External"/><Relationship Id="rId1" Type="http://schemas.openxmlformats.org/officeDocument/2006/relationships/externalLinkPath" Target="Hasil%20Analisis%20Penilai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hli Materi"/>
      <sheetName val="Ahli Media"/>
    </sheetNames>
    <sheetDataSet>
      <sheetData sheetId="0">
        <row r="15">
          <cell r="J15">
            <v>43.5</v>
          </cell>
        </row>
        <row r="21">
          <cell r="K21">
            <v>30</v>
          </cell>
        </row>
        <row r="26">
          <cell r="K26">
            <v>19</v>
          </cell>
        </row>
      </sheetData>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32" headerRowDxfId="0">
  <tableColumns count="27">
    <tableColumn id="1" xr3:uid="{00000000-0010-0000-0000-000001000000}" name="Timestamp"/>
    <tableColumn id="2" xr3:uid="{00000000-0010-0000-0000-000002000000}" name="Email"/>
    <tableColumn id="3" xr3:uid="{00000000-0010-0000-0000-000003000000}" name="Nama Lengkap"/>
    <tableColumn id="4" xr3:uid="{00000000-0010-0000-0000-000004000000}" name="NIM"/>
    <tableColumn id="5" xr3:uid="{00000000-0010-0000-0000-000005000000}" name="Angkatan"/>
    <tableColumn id="6" xr3:uid="{00000000-0010-0000-0000-000006000000}" name="Kelas"/>
    <tableColumn id="7" xr3:uid="{00000000-0010-0000-0000-000007000000}" name="1. Simulator sebagai media pembelajaran Kinematika dan Navigasi Swerve Drive Autonomous Mobile Robot membantu pemahaman prinsip kerja dan model kinematika sistem robot berbasis Swerve Drive. "/>
    <tableColumn id="8" xr3:uid="{00000000-0010-0000-0000-000008000000}" name="2. Penggunaan simulator sebagai media pembelajaran menambah pengetahuan peserta didik tentang cara kerja algoritma Pure Pursuit dalam mengikuti sebuah lintasan."/>
    <tableColumn id="9" xr3:uid="{00000000-0010-0000-0000-000009000000}" name="3. Visualisasi 3D robot di Unity secara jelas menunjukkan bagaimana setiap modul roda berotasi dan berputar untuk menghasilkan gerakan robot."/>
    <tableColumn id="10" xr3:uid="{00000000-0010-0000-0000-00000A000000}" name="4. Materi pembelajaran pada modul dan labsheet disajikan secara jelas dan mudah dipahami."/>
    <tableColumn id="11" xr3:uid="{00000000-0010-0000-0000-00000B000000}" name="5. Mengamati hubungan visual antara posisi robot, titik target, dan garis lookahead pada dashboard memberikan wawasan baru tentang cara kerja Pure Pursuit."/>
    <tableColumn id="12" xr3:uid="{00000000-0010-0000-0000-00000C000000}" name="6. Media pembelajaran berbasis simulator ini memberikan pemahaman praktis tentang tantangan navigasi robot otonom yang tidak didapatkan hanya dari membaca teori."/>
    <tableColumn id="13" xr3:uid="{00000000-0010-0000-0000-00000D000000}" name="7. Dashboard Python memiliki tampilan yang terorganisir dan mudah untuk dimengerti didukung dengan materi petunjuk pada labsheet dan modul Simulator Kinematika dan Navigasi Swerve Drive yang lebih memperjelas penggunaan."/>
    <tableColumn id="14" xr3:uid="{00000000-0010-0000-0000-00000E000000}" name="8. Pengoperasian software Unity untuk simulasi dijelaskan secara detil melalui labsheet dan modul Simulator Kinematika dan Navigasi Swerve Drive."/>
    <tableColumn id="15" xr3:uid="{00000000-0010-0000-0000-00000F000000}" name="9. Sifat interaktif dari simulator (melihat perubahan secara langsung) mendorong peserta didik untuk lebih aktif mencoba dan bereksperimen."/>
    <tableColumn id="16" xr3:uid="{00000000-0010-0000-0000-000010000000}" name="10.  Penggunaan media pembelajaran berbasis simulator membuat peserta didik lebih percaya diri untuk mencoba berbagai skenario dan menguji pengaruh parameter pengendalian karena tidak ada risiko merusak perangkat keras.  "/>
    <tableColumn id="17" xr3:uid="{00000000-0010-0000-0000-000011000000}" name="11. Penyajian informasi melalui tiga cara (visual 3D, plot 2D, dan teks data) membantu peserta didik memahami konsep dari berbagai sudut pandang."/>
    <tableColumn id="18" xr3:uid="{00000000-0010-0000-0000-000012000000}" name="12. Tampilan visual dan interaktif pada simulator, seperti fitur zoom dan navigasi grafik, membantu peserta didik memahami materi secara lebih bervariasi dan menarik."/>
    <tableColumn id="19" xr3:uid="{00000000-0010-0000-0000-000013000000}" name="13. Penggunaan simulator ini secara signifikan meningkatkan pemahaman peserta didik tentang implementasi kinematika Swerve Drive."/>
    <tableColumn id="20" xr3:uid="{00000000-0010-0000-0000-000014000000}" name="14. Saya merasa lebih percaya diri untuk menjelaskan atau menerapkan algoritma pelacakan jalur setelah menggunakan media pembelajaran Simulator Kinematika dan Navigasi Swerve Drive."/>
    <tableColumn id="21" xr3:uid="{00000000-0010-0000-0000-000015000000}" name="15. Prosedur untuk menjalankan dan menghubungkan simulator Unity dengan dashboard Python mudah untuk diikuti melalui petunjuk penggunaan pada Simulator Kinematika dan Navigasi Swerve Drive."/>
    <tableColumn id="22" xr3:uid="{00000000-0010-0000-0000-000016000000}" name="16.  Petunjuk instalasi dan pengoperasian simulator yang dijelaskan di dalam modul Simulator Kinematika dan Navigasi Swerve Drive cukup jelas untuk diikuti."/>
    <tableColumn id="23" xr3:uid="{00000000-0010-0000-0000-000017000000}" name="17. Menggunakan simulator sesuai panduan labsheet mempercepat proses pemahaman peserta didik karena dapat mengamati secara langsung perubahan dan respon sistem terhadap parameter yang diberikan."/>
    <tableColumn id="24" xr3:uid="{00000000-0010-0000-0000-000018000000}" name="18.  Simulator ini mengurangi usaha dan waktu yang saya habiskan untuk mencari kesalahan (debugging), sehingga peserta didik bisa lebih fokus pada pemahaman konsep inti yang diajarkan di modul."/>
    <tableColumn id="25" xr3:uid="{00000000-0010-0000-0000-000019000000}" name="19. Penggunaan simulator sebagai media pembelajaran lebih interaktif dan menarik karena memberikan pengalaman yang mirip dengan kondisi robot sebenarnya."/>
    <tableColumn id="26" xr3:uid="{00000000-0010-0000-0000-00001A000000}" name="20.  Media pembelajaran berbasis simulator dapat menunjukkan aplikasi nyata dari teori yang rumit, sehingga memotivasi peserta didik karena dapat melihat relevansi dan kegunaan dari apa yang telah dipelajari pada teori."/>
    <tableColumn id="27" xr3:uid="{00000000-0010-0000-0000-00001B000000}" name="Kritik dan Sara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9"/>
  <sheetViews>
    <sheetView tabSelected="1" workbookViewId="0">
      <pane ySplit="1" topLeftCell="A37" activePane="bottomLeft" state="frozen"/>
      <selection pane="bottomLeft" activeCell="D60" sqref="D60"/>
    </sheetView>
  </sheetViews>
  <sheetFormatPr defaultColWidth="12.5703125" defaultRowHeight="15.75" customHeight="1" x14ac:dyDescent="0.2"/>
  <cols>
    <col min="1" max="1" width="23.28515625" customWidth="1"/>
    <col min="2" max="2" width="18.85546875" customWidth="1"/>
    <col min="3" max="3" width="30.5703125" customWidth="1"/>
    <col min="4" max="6" width="18.85546875" customWidth="1"/>
    <col min="7" max="26" width="37.5703125" customWidth="1"/>
    <col min="27" max="33" width="18.85546875" customWidth="1"/>
  </cols>
  <sheetData>
    <row r="1" spans="1:27" s="14" customFormat="1" x14ac:dyDescent="0.2">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3" t="s">
        <v>26</v>
      </c>
    </row>
    <row r="2" spans="1:27" ht="12.75" x14ac:dyDescent="0.2">
      <c r="A2" s="1">
        <v>45874.720782280092</v>
      </c>
      <c r="B2" s="2" t="s">
        <v>27</v>
      </c>
      <c r="C2" s="2" t="s">
        <v>28</v>
      </c>
      <c r="D2" s="2">
        <v>21518241006</v>
      </c>
      <c r="E2" s="2">
        <v>2021</v>
      </c>
      <c r="F2" s="2" t="s">
        <v>29</v>
      </c>
      <c r="G2" s="2">
        <v>4</v>
      </c>
      <c r="H2" s="2">
        <v>4</v>
      </c>
      <c r="I2" s="2">
        <v>4</v>
      </c>
      <c r="J2" s="2">
        <v>4</v>
      </c>
      <c r="K2" s="2">
        <v>4</v>
      </c>
      <c r="L2" s="2">
        <v>4</v>
      </c>
      <c r="M2" s="2">
        <v>4</v>
      </c>
      <c r="N2" s="2">
        <v>4</v>
      </c>
      <c r="O2" s="2">
        <v>4</v>
      </c>
      <c r="P2" s="2">
        <v>4</v>
      </c>
      <c r="Q2" s="2">
        <v>4</v>
      </c>
      <c r="R2" s="2">
        <v>4</v>
      </c>
      <c r="S2" s="2">
        <v>4</v>
      </c>
      <c r="T2" s="2">
        <v>4</v>
      </c>
      <c r="U2" s="2">
        <v>4</v>
      </c>
      <c r="V2" s="2">
        <v>4</v>
      </c>
      <c r="W2" s="2">
        <v>4</v>
      </c>
      <c r="X2" s="2">
        <v>4</v>
      </c>
      <c r="Y2" s="2">
        <v>4</v>
      </c>
      <c r="Z2" s="2">
        <v>4</v>
      </c>
      <c r="AA2" s="3" t="s">
        <v>30</v>
      </c>
    </row>
    <row r="3" spans="1:27" ht="12.75" x14ac:dyDescent="0.2">
      <c r="A3" s="1">
        <v>45874.726194953706</v>
      </c>
      <c r="B3" s="2" t="s">
        <v>34</v>
      </c>
      <c r="C3" s="2" t="s">
        <v>35</v>
      </c>
      <c r="D3" s="2">
        <v>21518241003</v>
      </c>
      <c r="E3" s="2">
        <v>2021</v>
      </c>
      <c r="F3" s="2" t="s">
        <v>29</v>
      </c>
      <c r="G3" s="2">
        <v>4</v>
      </c>
      <c r="H3" s="2">
        <v>4</v>
      </c>
      <c r="I3" s="2">
        <v>4</v>
      </c>
      <c r="J3" s="2">
        <v>4</v>
      </c>
      <c r="K3" s="2">
        <v>4</v>
      </c>
      <c r="L3" s="2">
        <v>4</v>
      </c>
      <c r="M3" s="2">
        <v>4</v>
      </c>
      <c r="N3" s="2">
        <v>4</v>
      </c>
      <c r="O3" s="2">
        <v>4</v>
      </c>
      <c r="P3" s="2">
        <v>4</v>
      </c>
      <c r="Q3" s="2">
        <v>4</v>
      </c>
      <c r="R3" s="2">
        <v>4</v>
      </c>
      <c r="S3" s="2">
        <v>4</v>
      </c>
      <c r="T3" s="2">
        <v>4</v>
      </c>
      <c r="U3" s="2">
        <v>4</v>
      </c>
      <c r="V3" s="2">
        <v>4</v>
      </c>
      <c r="W3" s="2">
        <v>4</v>
      </c>
      <c r="X3" s="2">
        <v>4</v>
      </c>
      <c r="Y3" s="2">
        <v>4</v>
      </c>
      <c r="Z3" s="2">
        <v>4</v>
      </c>
      <c r="AA3" s="3" t="s">
        <v>30</v>
      </c>
    </row>
    <row r="4" spans="1:27" ht="12.75" x14ac:dyDescent="0.2">
      <c r="A4" s="4">
        <v>45874.734737476851</v>
      </c>
      <c r="B4" s="5" t="s">
        <v>36</v>
      </c>
      <c r="C4" s="5" t="s">
        <v>37</v>
      </c>
      <c r="D4" s="5">
        <v>22518241011</v>
      </c>
      <c r="E4" s="5">
        <v>2022</v>
      </c>
      <c r="F4" s="5" t="s">
        <v>29</v>
      </c>
      <c r="G4" s="5">
        <v>4</v>
      </c>
      <c r="H4" s="5">
        <v>4</v>
      </c>
      <c r="I4" s="5">
        <v>4</v>
      </c>
      <c r="J4" s="5">
        <v>4</v>
      </c>
      <c r="K4" s="5">
        <v>4</v>
      </c>
      <c r="L4" s="5">
        <v>4</v>
      </c>
      <c r="M4" s="5">
        <v>4</v>
      </c>
      <c r="N4" s="5">
        <v>4</v>
      </c>
      <c r="O4" s="5">
        <v>4</v>
      </c>
      <c r="P4" s="5">
        <v>4</v>
      </c>
      <c r="Q4" s="5">
        <v>4</v>
      </c>
      <c r="R4" s="5">
        <v>4</v>
      </c>
      <c r="S4" s="5">
        <v>4</v>
      </c>
      <c r="T4" s="5">
        <v>3</v>
      </c>
      <c r="U4" s="5">
        <v>4</v>
      </c>
      <c r="V4" s="5">
        <v>4</v>
      </c>
      <c r="W4" s="5">
        <v>4</v>
      </c>
      <c r="X4" s="5">
        <v>4</v>
      </c>
      <c r="Y4" s="5">
        <v>4</v>
      </c>
      <c r="Z4" s="5">
        <v>4</v>
      </c>
      <c r="AA4" s="6" t="s">
        <v>38</v>
      </c>
    </row>
    <row r="5" spans="1:27" ht="12.75" x14ac:dyDescent="0.2">
      <c r="A5" s="4">
        <v>45874.721040138887</v>
      </c>
      <c r="B5" s="5" t="s">
        <v>31</v>
      </c>
      <c r="C5" s="5" t="s">
        <v>32</v>
      </c>
      <c r="D5" s="5">
        <v>21518241011</v>
      </c>
      <c r="E5" s="5">
        <v>2021</v>
      </c>
      <c r="F5" s="5" t="s">
        <v>29</v>
      </c>
      <c r="G5" s="5">
        <v>4</v>
      </c>
      <c r="H5" s="5">
        <v>4</v>
      </c>
      <c r="I5" s="5">
        <v>4</v>
      </c>
      <c r="J5" s="5">
        <v>4</v>
      </c>
      <c r="K5" s="5">
        <v>4</v>
      </c>
      <c r="L5" s="5">
        <v>4</v>
      </c>
      <c r="M5" s="5">
        <v>4</v>
      </c>
      <c r="N5" s="5">
        <v>4</v>
      </c>
      <c r="O5" s="5">
        <v>3</v>
      </c>
      <c r="P5" s="5">
        <v>4</v>
      </c>
      <c r="Q5" s="5">
        <v>4</v>
      </c>
      <c r="R5" s="5">
        <v>4</v>
      </c>
      <c r="S5" s="5">
        <v>3</v>
      </c>
      <c r="T5" s="5">
        <v>3</v>
      </c>
      <c r="U5" s="5">
        <v>3</v>
      </c>
      <c r="V5" s="5">
        <v>3</v>
      </c>
      <c r="W5" s="5">
        <v>3</v>
      </c>
      <c r="X5" s="5">
        <v>3</v>
      </c>
      <c r="Y5" s="5">
        <v>4</v>
      </c>
      <c r="Z5" s="5">
        <v>3</v>
      </c>
      <c r="AA5" s="6" t="s">
        <v>33</v>
      </c>
    </row>
    <row r="6" spans="1:27" ht="12.75" x14ac:dyDescent="0.2">
      <c r="A6" s="1">
        <v>45874.759413854168</v>
      </c>
      <c r="B6" s="2" t="s">
        <v>39</v>
      </c>
      <c r="C6" s="2" t="s">
        <v>40</v>
      </c>
      <c r="D6" s="2">
        <v>21518241004</v>
      </c>
      <c r="E6" s="2">
        <v>2021</v>
      </c>
      <c r="F6" s="2" t="s">
        <v>29</v>
      </c>
      <c r="G6" s="2">
        <v>4</v>
      </c>
      <c r="H6" s="2">
        <v>4</v>
      </c>
      <c r="I6" s="2">
        <v>4</v>
      </c>
      <c r="J6" s="2">
        <v>4</v>
      </c>
      <c r="K6" s="2">
        <v>4</v>
      </c>
      <c r="L6" s="2">
        <v>4</v>
      </c>
      <c r="M6" s="2">
        <v>4</v>
      </c>
      <c r="N6" s="2">
        <v>3</v>
      </c>
      <c r="O6" s="2">
        <v>4</v>
      </c>
      <c r="P6" s="2">
        <v>4</v>
      </c>
      <c r="Q6" s="2">
        <v>3</v>
      </c>
      <c r="R6" s="2">
        <v>4</v>
      </c>
      <c r="S6" s="2">
        <v>4</v>
      </c>
      <c r="T6" s="2">
        <v>3</v>
      </c>
      <c r="U6" s="2">
        <v>4</v>
      </c>
      <c r="V6" s="2">
        <v>4</v>
      </c>
      <c r="W6" s="2">
        <v>4</v>
      </c>
      <c r="X6" s="2">
        <v>4</v>
      </c>
      <c r="Y6" s="2">
        <v>4</v>
      </c>
      <c r="Z6" s="2">
        <v>4</v>
      </c>
      <c r="AA6" s="3" t="s">
        <v>41</v>
      </c>
    </row>
    <row r="7" spans="1:27" ht="12.75" x14ac:dyDescent="0.2">
      <c r="A7" s="4">
        <v>45874.81955255787</v>
      </c>
      <c r="B7" s="5" t="s">
        <v>42</v>
      </c>
      <c r="C7" s="5" t="s">
        <v>43</v>
      </c>
      <c r="D7" s="5">
        <v>21518241049</v>
      </c>
      <c r="E7" s="5">
        <v>2021</v>
      </c>
      <c r="F7" s="5" t="s">
        <v>44</v>
      </c>
      <c r="G7" s="5">
        <v>4</v>
      </c>
      <c r="H7" s="5">
        <v>4</v>
      </c>
      <c r="I7" s="5">
        <v>4</v>
      </c>
      <c r="J7" s="5">
        <v>4</v>
      </c>
      <c r="K7" s="5">
        <v>4</v>
      </c>
      <c r="L7" s="5">
        <v>4</v>
      </c>
      <c r="M7" s="5">
        <v>3</v>
      </c>
      <c r="N7" s="5">
        <v>4</v>
      </c>
      <c r="O7" s="5">
        <v>4</v>
      </c>
      <c r="P7" s="5">
        <v>3</v>
      </c>
      <c r="Q7" s="5">
        <v>4</v>
      </c>
      <c r="R7" s="5">
        <v>4</v>
      </c>
      <c r="S7" s="5">
        <v>3</v>
      </c>
      <c r="T7" s="5">
        <v>3</v>
      </c>
      <c r="U7" s="5">
        <v>4</v>
      </c>
      <c r="V7" s="5">
        <v>4</v>
      </c>
      <c r="W7" s="5">
        <v>3</v>
      </c>
      <c r="X7" s="5">
        <v>4</v>
      </c>
      <c r="Y7" s="5">
        <v>4</v>
      </c>
      <c r="Z7" s="5">
        <v>4</v>
      </c>
      <c r="AA7" s="6" t="s">
        <v>45</v>
      </c>
    </row>
    <row r="8" spans="1:27" ht="12.75" x14ac:dyDescent="0.2">
      <c r="A8" s="1">
        <v>45874.821931238424</v>
      </c>
      <c r="B8" s="2" t="s">
        <v>46</v>
      </c>
      <c r="C8" s="2" t="s">
        <v>47</v>
      </c>
      <c r="D8" s="2">
        <v>21518241020</v>
      </c>
      <c r="E8" s="2">
        <v>2021</v>
      </c>
      <c r="F8" s="2" t="s">
        <v>29</v>
      </c>
      <c r="G8" s="2">
        <v>4</v>
      </c>
      <c r="H8" s="2">
        <v>4</v>
      </c>
      <c r="I8" s="2">
        <v>4</v>
      </c>
      <c r="J8" s="2">
        <v>4</v>
      </c>
      <c r="K8" s="2">
        <v>4</v>
      </c>
      <c r="L8" s="2">
        <v>4</v>
      </c>
      <c r="M8" s="2">
        <v>4</v>
      </c>
      <c r="N8" s="2">
        <v>3</v>
      </c>
      <c r="O8" s="2">
        <v>4</v>
      </c>
      <c r="P8" s="2">
        <v>3</v>
      </c>
      <c r="Q8" s="2">
        <v>4</v>
      </c>
      <c r="R8" s="2">
        <v>4</v>
      </c>
      <c r="S8" s="2">
        <v>4</v>
      </c>
      <c r="T8" s="2">
        <v>4</v>
      </c>
      <c r="U8" s="2">
        <v>4</v>
      </c>
      <c r="V8" s="2">
        <v>4</v>
      </c>
      <c r="W8" s="2">
        <v>4</v>
      </c>
      <c r="X8" s="2">
        <v>4</v>
      </c>
      <c r="Y8" s="2">
        <v>4</v>
      </c>
      <c r="Z8" s="2">
        <v>4</v>
      </c>
      <c r="AA8" s="3" t="s">
        <v>48</v>
      </c>
    </row>
    <row r="9" spans="1:27" ht="12.75" x14ac:dyDescent="0.2">
      <c r="A9" s="4">
        <v>45874.860564664355</v>
      </c>
      <c r="B9" s="5" t="s">
        <v>49</v>
      </c>
      <c r="C9" s="5" t="s">
        <v>50</v>
      </c>
      <c r="D9" s="5">
        <v>21518241018</v>
      </c>
      <c r="E9" s="5">
        <v>2021</v>
      </c>
      <c r="F9" s="5" t="s">
        <v>29</v>
      </c>
      <c r="G9" s="5">
        <v>4</v>
      </c>
      <c r="H9" s="5">
        <v>4</v>
      </c>
      <c r="I9" s="5">
        <v>4</v>
      </c>
      <c r="J9" s="5">
        <v>3</v>
      </c>
      <c r="K9" s="5">
        <v>4</v>
      </c>
      <c r="L9" s="5">
        <v>4</v>
      </c>
      <c r="M9" s="5">
        <v>4</v>
      </c>
      <c r="N9" s="5">
        <v>3</v>
      </c>
      <c r="O9" s="5">
        <v>4</v>
      </c>
      <c r="P9" s="5">
        <v>3</v>
      </c>
      <c r="Q9" s="5">
        <v>4</v>
      </c>
      <c r="R9" s="5">
        <v>3</v>
      </c>
      <c r="S9" s="5">
        <v>4</v>
      </c>
      <c r="T9" s="5">
        <v>3</v>
      </c>
      <c r="U9" s="5">
        <v>4</v>
      </c>
      <c r="V9" s="5">
        <v>4</v>
      </c>
      <c r="W9" s="5">
        <v>4</v>
      </c>
      <c r="X9" s="5">
        <v>4</v>
      </c>
      <c r="Y9" s="5">
        <v>3</v>
      </c>
      <c r="Z9" s="5">
        <v>4</v>
      </c>
      <c r="AA9" s="6" t="s">
        <v>51</v>
      </c>
    </row>
    <row r="10" spans="1:27" ht="12.75" x14ac:dyDescent="0.2">
      <c r="A10" s="1">
        <v>45874.860817916662</v>
      </c>
      <c r="B10" s="2" t="s">
        <v>52</v>
      </c>
      <c r="C10" s="2" t="s">
        <v>53</v>
      </c>
      <c r="D10" s="2">
        <v>21518244011</v>
      </c>
      <c r="E10" s="2">
        <v>2021</v>
      </c>
      <c r="F10" s="2" t="s">
        <v>44</v>
      </c>
      <c r="G10" s="2">
        <v>4</v>
      </c>
      <c r="H10" s="2">
        <v>4</v>
      </c>
      <c r="I10" s="2">
        <v>4</v>
      </c>
      <c r="J10" s="2">
        <v>4</v>
      </c>
      <c r="K10" s="2">
        <v>4</v>
      </c>
      <c r="L10" s="2">
        <v>4</v>
      </c>
      <c r="M10" s="2">
        <v>3</v>
      </c>
      <c r="N10" s="2">
        <v>4</v>
      </c>
      <c r="O10" s="2">
        <v>3</v>
      </c>
      <c r="P10" s="2">
        <v>4</v>
      </c>
      <c r="Q10" s="2">
        <v>4</v>
      </c>
      <c r="R10" s="2">
        <v>4</v>
      </c>
      <c r="S10" s="2">
        <v>3</v>
      </c>
      <c r="T10" s="2">
        <v>3</v>
      </c>
      <c r="U10" s="2">
        <v>4</v>
      </c>
      <c r="V10" s="2">
        <v>4</v>
      </c>
      <c r="W10" s="2">
        <v>4</v>
      </c>
      <c r="X10" s="2">
        <v>4</v>
      </c>
      <c r="Y10" s="2">
        <v>4</v>
      </c>
      <c r="Z10" s="2">
        <v>4</v>
      </c>
      <c r="AA10" s="3" t="s">
        <v>30</v>
      </c>
    </row>
    <row r="11" spans="1:27" ht="12.75" x14ac:dyDescent="0.2">
      <c r="A11" s="4">
        <v>45874.867586388893</v>
      </c>
      <c r="B11" s="5" t="s">
        <v>54</v>
      </c>
      <c r="C11" s="5" t="s">
        <v>55</v>
      </c>
      <c r="D11" s="5">
        <v>21518241008</v>
      </c>
      <c r="E11" s="5">
        <v>2021</v>
      </c>
      <c r="F11" s="5" t="s">
        <v>29</v>
      </c>
      <c r="G11" s="5">
        <v>4</v>
      </c>
      <c r="H11" s="5">
        <v>4</v>
      </c>
      <c r="I11" s="5">
        <v>4</v>
      </c>
      <c r="J11" s="5">
        <v>4</v>
      </c>
      <c r="K11" s="5">
        <v>4</v>
      </c>
      <c r="L11" s="5">
        <v>4</v>
      </c>
      <c r="M11" s="5">
        <v>4</v>
      </c>
      <c r="N11" s="5">
        <v>4</v>
      </c>
      <c r="O11" s="5">
        <v>4</v>
      </c>
      <c r="P11" s="5">
        <v>4</v>
      </c>
      <c r="Q11" s="5">
        <v>4</v>
      </c>
      <c r="R11" s="5">
        <v>4</v>
      </c>
      <c r="S11" s="5">
        <v>4</v>
      </c>
      <c r="T11" s="5">
        <v>4</v>
      </c>
      <c r="U11" s="5">
        <v>4</v>
      </c>
      <c r="V11" s="5">
        <v>4</v>
      </c>
      <c r="W11" s="5">
        <v>4</v>
      </c>
      <c r="X11" s="5">
        <v>4</v>
      </c>
      <c r="Y11" s="5">
        <v>4</v>
      </c>
      <c r="Z11" s="5">
        <v>4</v>
      </c>
      <c r="AA11" s="6" t="s">
        <v>30</v>
      </c>
    </row>
    <row r="12" spans="1:27" ht="12.75" x14ac:dyDescent="0.2">
      <c r="A12" s="1">
        <v>45874.869543449073</v>
      </c>
      <c r="B12" s="2" t="s">
        <v>56</v>
      </c>
      <c r="C12" s="2" t="s">
        <v>57</v>
      </c>
      <c r="D12" s="2">
        <v>22518241018</v>
      </c>
      <c r="E12" s="2">
        <v>2022</v>
      </c>
      <c r="F12" s="2" t="s">
        <v>29</v>
      </c>
      <c r="G12" s="2">
        <v>4</v>
      </c>
      <c r="H12" s="2">
        <v>4</v>
      </c>
      <c r="I12" s="2">
        <v>4</v>
      </c>
      <c r="J12" s="2">
        <v>4</v>
      </c>
      <c r="K12" s="2">
        <v>4</v>
      </c>
      <c r="L12" s="2">
        <v>4</v>
      </c>
      <c r="M12" s="2">
        <v>3</v>
      </c>
      <c r="N12" s="2">
        <v>4</v>
      </c>
      <c r="O12" s="2">
        <v>4</v>
      </c>
      <c r="P12" s="2">
        <v>4</v>
      </c>
      <c r="Q12" s="2">
        <v>4</v>
      </c>
      <c r="R12" s="2">
        <v>4</v>
      </c>
      <c r="S12" s="2">
        <v>4</v>
      </c>
      <c r="T12" s="2">
        <v>4</v>
      </c>
      <c r="U12" s="2">
        <v>4</v>
      </c>
      <c r="V12" s="2">
        <v>4</v>
      </c>
      <c r="W12" s="2">
        <v>4</v>
      </c>
      <c r="X12" s="2">
        <v>4</v>
      </c>
      <c r="Y12" s="2">
        <v>4</v>
      </c>
      <c r="Z12" s="2">
        <v>4</v>
      </c>
      <c r="AA12" s="3" t="s">
        <v>30</v>
      </c>
    </row>
    <row r="13" spans="1:27" ht="12.75" x14ac:dyDescent="0.2">
      <c r="A13" s="4">
        <v>45874.875919004626</v>
      </c>
      <c r="B13" s="5" t="s">
        <v>58</v>
      </c>
      <c r="C13" s="5" t="s">
        <v>59</v>
      </c>
      <c r="D13" s="5">
        <v>21518241023</v>
      </c>
      <c r="E13" s="5">
        <v>2021</v>
      </c>
      <c r="F13" s="5" t="s">
        <v>29</v>
      </c>
      <c r="G13" s="5">
        <v>4</v>
      </c>
      <c r="H13" s="5">
        <v>4</v>
      </c>
      <c r="I13" s="5">
        <v>4</v>
      </c>
      <c r="J13" s="5">
        <v>4</v>
      </c>
      <c r="K13" s="5">
        <v>4</v>
      </c>
      <c r="L13" s="5">
        <v>4</v>
      </c>
      <c r="M13" s="5">
        <v>4</v>
      </c>
      <c r="N13" s="5">
        <v>3</v>
      </c>
      <c r="O13" s="5">
        <v>4</v>
      </c>
      <c r="P13" s="5">
        <v>4</v>
      </c>
      <c r="Q13" s="5">
        <v>4</v>
      </c>
      <c r="R13" s="5">
        <v>4</v>
      </c>
      <c r="S13" s="5">
        <v>3</v>
      </c>
      <c r="T13" s="5">
        <v>4</v>
      </c>
      <c r="U13" s="5">
        <v>4</v>
      </c>
      <c r="V13" s="5">
        <v>4</v>
      </c>
      <c r="W13" s="5">
        <v>4</v>
      </c>
      <c r="X13" s="5">
        <v>4</v>
      </c>
      <c r="Y13" s="5">
        <v>4</v>
      </c>
      <c r="Z13" s="5">
        <v>4</v>
      </c>
      <c r="AA13" s="6" t="s">
        <v>60</v>
      </c>
    </row>
    <row r="14" spans="1:27" ht="12.75" x14ac:dyDescent="0.2">
      <c r="A14" s="1">
        <v>45874.902059479165</v>
      </c>
      <c r="B14" s="2" t="s">
        <v>61</v>
      </c>
      <c r="C14" s="2" t="s">
        <v>62</v>
      </c>
      <c r="D14" s="2">
        <v>21518241014</v>
      </c>
      <c r="E14" s="2">
        <v>2021</v>
      </c>
      <c r="F14" s="2" t="s">
        <v>29</v>
      </c>
      <c r="G14" s="2">
        <v>4</v>
      </c>
      <c r="H14" s="2">
        <v>4</v>
      </c>
      <c r="I14" s="2">
        <v>4</v>
      </c>
      <c r="J14" s="2">
        <v>4</v>
      </c>
      <c r="K14" s="2">
        <v>4</v>
      </c>
      <c r="L14" s="2">
        <v>4</v>
      </c>
      <c r="M14" s="2">
        <v>3</v>
      </c>
      <c r="N14" s="2">
        <v>4</v>
      </c>
      <c r="O14" s="2">
        <v>3</v>
      </c>
      <c r="P14" s="2">
        <v>3</v>
      </c>
      <c r="Q14" s="2">
        <v>4</v>
      </c>
      <c r="R14" s="2">
        <v>4</v>
      </c>
      <c r="S14" s="2">
        <v>3</v>
      </c>
      <c r="T14" s="2">
        <v>4</v>
      </c>
      <c r="U14" s="2">
        <v>4</v>
      </c>
      <c r="V14" s="2">
        <v>4</v>
      </c>
      <c r="W14" s="2">
        <v>4</v>
      </c>
      <c r="X14" s="2">
        <v>4</v>
      </c>
      <c r="Y14" s="2">
        <v>4</v>
      </c>
      <c r="Z14" s="2">
        <v>4</v>
      </c>
      <c r="AA14" s="3" t="s">
        <v>63</v>
      </c>
    </row>
    <row r="15" spans="1:27" ht="12.75" x14ac:dyDescent="0.2">
      <c r="A15" s="4">
        <v>45874.938075659724</v>
      </c>
      <c r="B15" s="5" t="s">
        <v>64</v>
      </c>
      <c r="C15" s="5" t="s">
        <v>65</v>
      </c>
      <c r="D15" s="5">
        <v>21518244032</v>
      </c>
      <c r="E15" s="5">
        <v>2021</v>
      </c>
      <c r="F15" s="5" t="s">
        <v>66</v>
      </c>
      <c r="G15" s="5">
        <v>4</v>
      </c>
      <c r="H15" s="5">
        <v>4</v>
      </c>
      <c r="I15" s="5">
        <v>4</v>
      </c>
      <c r="J15" s="5">
        <v>4</v>
      </c>
      <c r="K15" s="5">
        <v>4</v>
      </c>
      <c r="L15" s="5">
        <v>4</v>
      </c>
      <c r="M15" s="5">
        <v>4</v>
      </c>
      <c r="N15" s="5">
        <v>4</v>
      </c>
      <c r="O15" s="5">
        <v>3</v>
      </c>
      <c r="P15" s="5">
        <v>4</v>
      </c>
      <c r="Q15" s="5">
        <v>3</v>
      </c>
      <c r="R15" s="5">
        <v>4</v>
      </c>
      <c r="S15" s="5">
        <v>4</v>
      </c>
      <c r="T15" s="5">
        <v>3</v>
      </c>
      <c r="U15" s="5">
        <v>4</v>
      </c>
      <c r="V15" s="5">
        <v>4</v>
      </c>
      <c r="W15" s="5">
        <v>4</v>
      </c>
      <c r="X15" s="5">
        <v>4</v>
      </c>
      <c r="Y15" s="5">
        <v>4</v>
      </c>
      <c r="Z15" s="5">
        <v>4</v>
      </c>
      <c r="AA15" s="6" t="s">
        <v>67</v>
      </c>
    </row>
    <row r="16" spans="1:27" ht="12.75" x14ac:dyDescent="0.2">
      <c r="A16" s="1">
        <v>45875.017818553242</v>
      </c>
      <c r="B16" s="2" t="s">
        <v>68</v>
      </c>
      <c r="C16" s="2" t="s">
        <v>69</v>
      </c>
      <c r="D16" s="2">
        <v>21518244014</v>
      </c>
      <c r="E16" s="2">
        <v>2021</v>
      </c>
      <c r="F16" s="2" t="s">
        <v>44</v>
      </c>
      <c r="G16" s="2">
        <v>4</v>
      </c>
      <c r="H16" s="2">
        <v>4</v>
      </c>
      <c r="I16" s="2">
        <v>4</v>
      </c>
      <c r="J16" s="2">
        <v>4</v>
      </c>
      <c r="K16" s="2">
        <v>4</v>
      </c>
      <c r="L16" s="2">
        <v>4</v>
      </c>
      <c r="M16" s="2">
        <v>4</v>
      </c>
      <c r="N16" s="2">
        <v>4</v>
      </c>
      <c r="O16" s="2">
        <v>3</v>
      </c>
      <c r="P16" s="2">
        <v>4</v>
      </c>
      <c r="Q16" s="2">
        <v>3</v>
      </c>
      <c r="R16" s="2">
        <v>3</v>
      </c>
      <c r="S16" s="2">
        <v>4</v>
      </c>
      <c r="T16" s="2">
        <v>4</v>
      </c>
      <c r="U16" s="2">
        <v>4</v>
      </c>
      <c r="V16" s="2">
        <v>4</v>
      </c>
      <c r="W16" s="2">
        <v>4</v>
      </c>
      <c r="X16" s="2">
        <v>3</v>
      </c>
      <c r="Y16" s="2">
        <v>4</v>
      </c>
      <c r="Z16" s="2">
        <v>4</v>
      </c>
      <c r="AA16" s="3" t="s">
        <v>30</v>
      </c>
    </row>
    <row r="17" spans="1:27" ht="12.75" x14ac:dyDescent="0.2">
      <c r="A17" s="4">
        <v>45875.348111898144</v>
      </c>
      <c r="B17" s="5" t="s">
        <v>70</v>
      </c>
      <c r="C17" s="5" t="s">
        <v>71</v>
      </c>
      <c r="D17" s="5">
        <v>20518244014</v>
      </c>
      <c r="E17" s="5">
        <v>2020</v>
      </c>
      <c r="F17" s="5" t="s">
        <v>44</v>
      </c>
      <c r="G17" s="5">
        <v>4</v>
      </c>
      <c r="H17" s="5">
        <v>4</v>
      </c>
      <c r="I17" s="5">
        <v>4</v>
      </c>
      <c r="J17" s="5">
        <v>3</v>
      </c>
      <c r="K17" s="5">
        <v>4</v>
      </c>
      <c r="L17" s="5">
        <v>4</v>
      </c>
      <c r="M17" s="5">
        <v>4</v>
      </c>
      <c r="N17" s="5">
        <v>4</v>
      </c>
      <c r="O17" s="5">
        <v>3</v>
      </c>
      <c r="P17" s="5">
        <v>4</v>
      </c>
      <c r="Q17" s="5">
        <v>3</v>
      </c>
      <c r="R17" s="5">
        <v>3</v>
      </c>
      <c r="S17" s="5">
        <v>4</v>
      </c>
      <c r="T17" s="5">
        <v>4</v>
      </c>
      <c r="U17" s="5">
        <v>4</v>
      </c>
      <c r="V17" s="5">
        <v>4</v>
      </c>
      <c r="W17" s="5">
        <v>4</v>
      </c>
      <c r="X17" s="5">
        <v>4</v>
      </c>
      <c r="Y17" s="5">
        <v>4</v>
      </c>
      <c r="Z17" s="5">
        <v>4</v>
      </c>
      <c r="AA17" s="6" t="s">
        <v>72</v>
      </c>
    </row>
    <row r="18" spans="1:27" ht="12.75" x14ac:dyDescent="0.2">
      <c r="A18" s="1">
        <v>45875.376483483793</v>
      </c>
      <c r="B18" s="2" t="s">
        <v>73</v>
      </c>
      <c r="C18" s="2" t="s">
        <v>74</v>
      </c>
      <c r="D18" s="2">
        <v>22518241023</v>
      </c>
      <c r="E18" s="2">
        <v>2022</v>
      </c>
      <c r="F18" s="2" t="s">
        <v>29</v>
      </c>
      <c r="G18" s="2">
        <v>4</v>
      </c>
      <c r="H18" s="2">
        <v>4</v>
      </c>
      <c r="I18" s="2">
        <v>4</v>
      </c>
      <c r="J18" s="2">
        <v>4</v>
      </c>
      <c r="K18" s="2">
        <v>4</v>
      </c>
      <c r="L18" s="2">
        <v>4</v>
      </c>
      <c r="M18" s="2">
        <v>4</v>
      </c>
      <c r="N18" s="2">
        <v>3</v>
      </c>
      <c r="O18" s="2">
        <v>3</v>
      </c>
      <c r="P18" s="2">
        <v>4</v>
      </c>
      <c r="Q18" s="2">
        <v>3</v>
      </c>
      <c r="R18" s="2">
        <v>4</v>
      </c>
      <c r="S18" s="2">
        <v>4</v>
      </c>
      <c r="T18" s="2">
        <v>3</v>
      </c>
      <c r="U18" s="2">
        <v>4</v>
      </c>
      <c r="V18" s="2">
        <v>4</v>
      </c>
      <c r="W18" s="2">
        <v>4</v>
      </c>
      <c r="X18" s="2">
        <v>4</v>
      </c>
      <c r="Y18" s="2">
        <v>4</v>
      </c>
      <c r="Z18" s="2">
        <v>4</v>
      </c>
      <c r="AA18" s="3" t="s">
        <v>75</v>
      </c>
    </row>
    <row r="19" spans="1:27" ht="12.75" x14ac:dyDescent="0.2">
      <c r="A19" s="4">
        <v>45875.566569421295</v>
      </c>
      <c r="B19" s="5" t="s">
        <v>76</v>
      </c>
      <c r="C19" s="5" t="s">
        <v>77</v>
      </c>
      <c r="D19" s="5">
        <v>22518241002</v>
      </c>
      <c r="E19" s="5">
        <v>2022</v>
      </c>
      <c r="F19" s="5" t="s">
        <v>29</v>
      </c>
      <c r="G19" s="5">
        <v>4</v>
      </c>
      <c r="H19" s="5">
        <v>4</v>
      </c>
      <c r="I19" s="5">
        <v>4</v>
      </c>
      <c r="J19" s="5">
        <v>4</v>
      </c>
      <c r="K19" s="5">
        <v>4</v>
      </c>
      <c r="L19" s="5">
        <v>3</v>
      </c>
      <c r="M19" s="5">
        <v>4</v>
      </c>
      <c r="N19" s="5">
        <v>4</v>
      </c>
      <c r="O19" s="5">
        <v>4</v>
      </c>
      <c r="P19" s="5">
        <v>4</v>
      </c>
      <c r="Q19" s="5">
        <v>4</v>
      </c>
      <c r="R19" s="5">
        <v>4</v>
      </c>
      <c r="S19" s="5">
        <v>4</v>
      </c>
      <c r="T19" s="5">
        <v>4</v>
      </c>
      <c r="U19" s="5">
        <v>4</v>
      </c>
      <c r="V19" s="5">
        <v>4</v>
      </c>
      <c r="W19" s="5">
        <v>4</v>
      </c>
      <c r="X19" s="5">
        <v>4</v>
      </c>
      <c r="Y19" s="5">
        <v>4</v>
      </c>
      <c r="Z19" s="5">
        <v>4</v>
      </c>
      <c r="AA19" s="6" t="s">
        <v>78</v>
      </c>
    </row>
    <row r="20" spans="1:27" ht="12.75" x14ac:dyDescent="0.2">
      <c r="A20" s="1">
        <v>45875.925111736113</v>
      </c>
      <c r="B20" s="2" t="s">
        <v>79</v>
      </c>
      <c r="C20" s="2" t="s">
        <v>80</v>
      </c>
      <c r="D20" s="2">
        <v>21518241009</v>
      </c>
      <c r="E20" s="2">
        <v>2021</v>
      </c>
      <c r="F20" s="2" t="s">
        <v>29</v>
      </c>
      <c r="G20" s="2">
        <v>4</v>
      </c>
      <c r="H20" s="2">
        <v>4</v>
      </c>
      <c r="I20" s="2">
        <v>3</v>
      </c>
      <c r="J20" s="2">
        <v>4</v>
      </c>
      <c r="K20" s="2">
        <v>3</v>
      </c>
      <c r="L20" s="2">
        <v>4</v>
      </c>
      <c r="M20" s="2">
        <v>4</v>
      </c>
      <c r="N20" s="2">
        <v>4</v>
      </c>
      <c r="O20" s="2">
        <v>4</v>
      </c>
      <c r="P20" s="2">
        <v>3</v>
      </c>
      <c r="Q20" s="2">
        <v>4</v>
      </c>
      <c r="R20" s="2">
        <v>4</v>
      </c>
      <c r="S20" s="2">
        <v>4</v>
      </c>
      <c r="T20" s="2">
        <v>4</v>
      </c>
      <c r="U20" s="2">
        <v>4</v>
      </c>
      <c r="V20" s="2">
        <v>4</v>
      </c>
      <c r="W20" s="2">
        <v>3</v>
      </c>
      <c r="X20" s="2">
        <v>4</v>
      </c>
      <c r="Y20" s="2">
        <v>4</v>
      </c>
      <c r="Z20" s="2">
        <v>4</v>
      </c>
      <c r="AA20" s="3" t="s">
        <v>81</v>
      </c>
    </row>
    <row r="21" spans="1:27" ht="12.75" x14ac:dyDescent="0.2">
      <c r="A21" s="4">
        <v>45875.968751666667</v>
      </c>
      <c r="B21" s="5" t="s">
        <v>82</v>
      </c>
      <c r="C21" s="5" t="s">
        <v>83</v>
      </c>
      <c r="D21" s="5">
        <v>21518241032</v>
      </c>
      <c r="E21" s="5">
        <v>2021</v>
      </c>
      <c r="F21" s="5" t="s">
        <v>29</v>
      </c>
      <c r="G21" s="5">
        <v>4</v>
      </c>
      <c r="H21" s="5">
        <v>4</v>
      </c>
      <c r="I21" s="5">
        <v>4</v>
      </c>
      <c r="J21" s="5">
        <v>4</v>
      </c>
      <c r="K21" s="5">
        <v>4</v>
      </c>
      <c r="L21" s="5">
        <v>3</v>
      </c>
      <c r="M21" s="5">
        <v>4</v>
      </c>
      <c r="N21" s="5">
        <v>4</v>
      </c>
      <c r="O21" s="5">
        <v>4</v>
      </c>
      <c r="P21" s="5">
        <v>4</v>
      </c>
      <c r="Q21" s="5">
        <v>4</v>
      </c>
      <c r="R21" s="5">
        <v>4</v>
      </c>
      <c r="S21" s="5">
        <v>3</v>
      </c>
      <c r="T21" s="5">
        <v>4</v>
      </c>
      <c r="U21" s="5">
        <v>4</v>
      </c>
      <c r="V21" s="5">
        <v>4</v>
      </c>
      <c r="W21" s="5">
        <v>4</v>
      </c>
      <c r="X21" s="5">
        <v>4</v>
      </c>
      <c r="Y21" s="5">
        <v>3</v>
      </c>
      <c r="Z21" s="5">
        <v>4</v>
      </c>
      <c r="AA21" s="6" t="s">
        <v>84</v>
      </c>
    </row>
    <row r="22" spans="1:27" ht="12.75" x14ac:dyDescent="0.2">
      <c r="A22" s="1">
        <v>45876.499060868053</v>
      </c>
      <c r="B22" s="2" t="s">
        <v>85</v>
      </c>
      <c r="C22" s="2" t="s">
        <v>86</v>
      </c>
      <c r="D22" s="2">
        <v>21518241035</v>
      </c>
      <c r="E22" s="2">
        <v>2021</v>
      </c>
      <c r="F22" s="2" t="s">
        <v>29</v>
      </c>
      <c r="G22" s="2">
        <v>4</v>
      </c>
      <c r="H22" s="2">
        <v>4</v>
      </c>
      <c r="I22" s="2">
        <v>3</v>
      </c>
      <c r="J22" s="2">
        <v>4</v>
      </c>
      <c r="K22" s="2">
        <v>4</v>
      </c>
      <c r="L22" s="2">
        <v>4</v>
      </c>
      <c r="M22" s="2">
        <v>3</v>
      </c>
      <c r="N22" s="2">
        <v>3</v>
      </c>
      <c r="O22" s="2">
        <v>4</v>
      </c>
      <c r="P22" s="2">
        <v>4</v>
      </c>
      <c r="Q22" s="2">
        <v>4</v>
      </c>
      <c r="R22" s="2">
        <v>4</v>
      </c>
      <c r="S22" s="2">
        <v>3</v>
      </c>
      <c r="T22" s="2">
        <v>4</v>
      </c>
      <c r="U22" s="2">
        <v>4</v>
      </c>
      <c r="V22" s="2">
        <v>4</v>
      </c>
      <c r="W22" s="2">
        <v>4</v>
      </c>
      <c r="X22" s="2">
        <v>4</v>
      </c>
      <c r="Y22" s="2">
        <v>4</v>
      </c>
      <c r="Z22" s="2">
        <v>4</v>
      </c>
      <c r="AA22" s="3" t="s">
        <v>87</v>
      </c>
    </row>
    <row r="23" spans="1:27" ht="12.75" x14ac:dyDescent="0.2">
      <c r="A23" s="4">
        <v>45876.511697939815</v>
      </c>
      <c r="B23" s="5" t="s">
        <v>88</v>
      </c>
      <c r="C23" s="5" t="s">
        <v>89</v>
      </c>
      <c r="D23" s="5">
        <v>21518241028</v>
      </c>
      <c r="E23" s="5">
        <v>2021</v>
      </c>
      <c r="F23" s="5" t="s">
        <v>29</v>
      </c>
      <c r="G23" s="5">
        <v>4</v>
      </c>
      <c r="H23" s="5">
        <v>4</v>
      </c>
      <c r="I23" s="5">
        <v>4</v>
      </c>
      <c r="J23" s="5">
        <v>4</v>
      </c>
      <c r="K23" s="5">
        <v>4</v>
      </c>
      <c r="L23" s="5">
        <v>4</v>
      </c>
      <c r="M23" s="5">
        <v>3</v>
      </c>
      <c r="N23" s="5">
        <v>3</v>
      </c>
      <c r="O23" s="5">
        <v>3</v>
      </c>
      <c r="P23" s="5">
        <v>3</v>
      </c>
      <c r="Q23" s="5">
        <v>4</v>
      </c>
      <c r="R23" s="5">
        <v>3</v>
      </c>
      <c r="S23" s="5">
        <v>3</v>
      </c>
      <c r="T23" s="5">
        <v>3</v>
      </c>
      <c r="U23" s="5">
        <v>3</v>
      </c>
      <c r="V23" s="5">
        <v>4</v>
      </c>
      <c r="W23" s="5">
        <v>4</v>
      </c>
      <c r="X23" s="5">
        <v>4</v>
      </c>
      <c r="Y23" s="5">
        <v>4</v>
      </c>
      <c r="Z23" s="5">
        <v>4</v>
      </c>
      <c r="AA23" s="6" t="s">
        <v>90</v>
      </c>
    </row>
    <row r="24" spans="1:27" ht="12.75" x14ac:dyDescent="0.2">
      <c r="A24" s="1">
        <v>45877.638871886578</v>
      </c>
      <c r="B24" s="2" t="s">
        <v>91</v>
      </c>
      <c r="C24" s="2" t="s">
        <v>92</v>
      </c>
      <c r="D24" s="2">
        <v>22518244004</v>
      </c>
      <c r="E24" s="2">
        <v>2022</v>
      </c>
      <c r="F24" s="2" t="s">
        <v>44</v>
      </c>
      <c r="G24" s="2">
        <v>4</v>
      </c>
      <c r="H24" s="2">
        <v>4</v>
      </c>
      <c r="I24" s="2">
        <v>4</v>
      </c>
      <c r="J24" s="2">
        <v>4</v>
      </c>
      <c r="K24" s="2">
        <v>4</v>
      </c>
      <c r="L24" s="2">
        <v>4</v>
      </c>
      <c r="M24" s="2">
        <v>4</v>
      </c>
      <c r="N24" s="2">
        <v>4</v>
      </c>
      <c r="O24" s="2">
        <v>3</v>
      </c>
      <c r="P24" s="2">
        <v>3</v>
      </c>
      <c r="Q24" s="2">
        <v>4</v>
      </c>
      <c r="R24" s="2">
        <v>4</v>
      </c>
      <c r="S24" s="2">
        <v>3</v>
      </c>
      <c r="T24" s="2">
        <v>4</v>
      </c>
      <c r="U24" s="2">
        <v>4</v>
      </c>
      <c r="V24" s="2">
        <v>4</v>
      </c>
      <c r="W24" s="2">
        <v>4</v>
      </c>
      <c r="X24" s="2">
        <v>4</v>
      </c>
      <c r="Y24" s="2">
        <v>4</v>
      </c>
      <c r="Z24" s="2">
        <v>4</v>
      </c>
      <c r="AA24" s="3" t="s">
        <v>93</v>
      </c>
    </row>
    <row r="25" spans="1:27" ht="12.75" x14ac:dyDescent="0.2">
      <c r="A25" s="4">
        <v>45878.450647743055</v>
      </c>
      <c r="B25" s="5" t="s">
        <v>94</v>
      </c>
      <c r="C25" s="5" t="s">
        <v>95</v>
      </c>
      <c r="D25" s="5">
        <v>21518241025</v>
      </c>
      <c r="E25" s="5">
        <v>2021</v>
      </c>
      <c r="F25" s="5" t="s">
        <v>29</v>
      </c>
      <c r="G25" s="5">
        <v>4</v>
      </c>
      <c r="H25" s="5">
        <v>4</v>
      </c>
      <c r="I25" s="5">
        <v>4</v>
      </c>
      <c r="J25" s="5">
        <v>4</v>
      </c>
      <c r="K25" s="5">
        <v>4</v>
      </c>
      <c r="L25" s="5">
        <v>4</v>
      </c>
      <c r="M25" s="5">
        <v>4</v>
      </c>
      <c r="N25" s="5">
        <v>4</v>
      </c>
      <c r="O25" s="5">
        <v>3</v>
      </c>
      <c r="P25" s="5">
        <v>3</v>
      </c>
      <c r="Q25" s="5">
        <v>4</v>
      </c>
      <c r="R25" s="5">
        <v>4</v>
      </c>
      <c r="S25" s="5">
        <v>4</v>
      </c>
      <c r="T25" s="5">
        <v>4</v>
      </c>
      <c r="U25" s="5">
        <v>4</v>
      </c>
      <c r="V25" s="5">
        <v>4</v>
      </c>
      <c r="W25" s="5">
        <v>4</v>
      </c>
      <c r="X25" s="5">
        <v>4</v>
      </c>
      <c r="Y25" s="5">
        <v>4</v>
      </c>
      <c r="Z25" s="5">
        <v>4</v>
      </c>
      <c r="AA25" s="6" t="s">
        <v>96</v>
      </c>
    </row>
    <row r="26" spans="1:27" ht="12.75" x14ac:dyDescent="0.2">
      <c r="A26" s="4">
        <v>45880.378010439817</v>
      </c>
      <c r="B26" s="5" t="s">
        <v>97</v>
      </c>
      <c r="C26" s="5" t="s">
        <v>98</v>
      </c>
      <c r="D26" s="5">
        <v>21518241017</v>
      </c>
      <c r="E26" s="5">
        <v>2021</v>
      </c>
      <c r="F26" s="5" t="s">
        <v>29</v>
      </c>
      <c r="G26" s="5">
        <v>4</v>
      </c>
      <c r="H26" s="5">
        <v>4</v>
      </c>
      <c r="I26" s="5">
        <v>4</v>
      </c>
      <c r="J26" s="5">
        <v>4</v>
      </c>
      <c r="K26" s="5">
        <v>4</v>
      </c>
      <c r="L26" s="5">
        <v>4</v>
      </c>
      <c r="M26" s="5">
        <v>4</v>
      </c>
      <c r="N26" s="5">
        <v>4</v>
      </c>
      <c r="O26" s="5">
        <v>4</v>
      </c>
      <c r="P26" s="5">
        <v>4</v>
      </c>
      <c r="Q26" s="5">
        <v>4</v>
      </c>
      <c r="R26" s="5">
        <v>4</v>
      </c>
      <c r="S26" s="5">
        <v>4</v>
      </c>
      <c r="T26" s="5">
        <v>4</v>
      </c>
      <c r="U26" s="5">
        <v>4</v>
      </c>
      <c r="V26" s="5">
        <v>4</v>
      </c>
      <c r="W26" s="5">
        <v>4</v>
      </c>
      <c r="X26" s="5">
        <v>4</v>
      </c>
      <c r="Y26" s="5">
        <v>4</v>
      </c>
      <c r="Z26" s="5">
        <v>4</v>
      </c>
      <c r="AA26" s="6" t="s">
        <v>99</v>
      </c>
    </row>
    <row r="27" spans="1:27" ht="12.75" x14ac:dyDescent="0.2">
      <c r="A27" s="1">
        <v>45880.433770636577</v>
      </c>
      <c r="B27" s="2" t="s">
        <v>100</v>
      </c>
      <c r="C27" s="2" t="s">
        <v>101</v>
      </c>
      <c r="D27" s="2">
        <v>21518241001</v>
      </c>
      <c r="E27" s="2">
        <v>2021</v>
      </c>
      <c r="F27" s="2" t="s">
        <v>29</v>
      </c>
      <c r="G27" s="2">
        <v>4</v>
      </c>
      <c r="H27" s="2">
        <v>4</v>
      </c>
      <c r="I27" s="2">
        <v>4</v>
      </c>
      <c r="J27" s="2">
        <v>3</v>
      </c>
      <c r="K27" s="2">
        <v>3</v>
      </c>
      <c r="L27" s="2">
        <v>4</v>
      </c>
      <c r="M27" s="2">
        <v>3</v>
      </c>
      <c r="N27" s="2">
        <v>4</v>
      </c>
      <c r="O27" s="2">
        <v>3</v>
      </c>
      <c r="P27" s="2">
        <v>4</v>
      </c>
      <c r="Q27" s="2">
        <v>3</v>
      </c>
      <c r="R27" s="2">
        <v>3</v>
      </c>
      <c r="S27" s="2">
        <v>3</v>
      </c>
      <c r="T27" s="2">
        <v>3</v>
      </c>
      <c r="U27" s="2">
        <v>4</v>
      </c>
      <c r="V27" s="2">
        <v>4</v>
      </c>
      <c r="W27" s="2">
        <v>4</v>
      </c>
      <c r="X27" s="2">
        <v>3</v>
      </c>
      <c r="Y27" s="2">
        <v>4</v>
      </c>
      <c r="Z27" s="2">
        <v>3</v>
      </c>
      <c r="AA27" s="3" t="s">
        <v>102</v>
      </c>
    </row>
    <row r="28" spans="1:27" ht="12.75" x14ac:dyDescent="0.2">
      <c r="A28" s="4">
        <v>45880.655310648144</v>
      </c>
      <c r="B28" s="5" t="s">
        <v>103</v>
      </c>
      <c r="C28" s="5" t="s">
        <v>104</v>
      </c>
      <c r="D28" s="5">
        <v>21518241019</v>
      </c>
      <c r="E28" s="5">
        <v>2021</v>
      </c>
      <c r="F28" s="5" t="s">
        <v>29</v>
      </c>
      <c r="G28" s="5">
        <v>3</v>
      </c>
      <c r="H28" s="5">
        <v>4</v>
      </c>
      <c r="I28" s="5">
        <v>4</v>
      </c>
      <c r="J28" s="5">
        <v>4</v>
      </c>
      <c r="K28" s="5">
        <v>4</v>
      </c>
      <c r="L28" s="5">
        <v>4</v>
      </c>
      <c r="M28" s="5">
        <v>3</v>
      </c>
      <c r="N28" s="5">
        <v>4</v>
      </c>
      <c r="O28" s="5">
        <v>4</v>
      </c>
      <c r="P28" s="5">
        <v>4</v>
      </c>
      <c r="Q28" s="5">
        <v>4</v>
      </c>
      <c r="R28" s="5">
        <v>4</v>
      </c>
      <c r="S28" s="5">
        <v>4</v>
      </c>
      <c r="T28" s="5">
        <v>4</v>
      </c>
      <c r="U28" s="5">
        <v>4</v>
      </c>
      <c r="V28" s="5">
        <v>4</v>
      </c>
      <c r="W28" s="5">
        <v>4</v>
      </c>
      <c r="X28" s="5">
        <v>4</v>
      </c>
      <c r="Y28" s="5">
        <v>4</v>
      </c>
      <c r="Z28" s="5">
        <v>3</v>
      </c>
      <c r="AA28" s="6" t="s">
        <v>105</v>
      </c>
    </row>
    <row r="29" spans="1:27" ht="12.75" x14ac:dyDescent="0.2">
      <c r="A29" s="1">
        <v>45882.392627627312</v>
      </c>
      <c r="B29" s="2" t="s">
        <v>106</v>
      </c>
      <c r="C29" s="2" t="s">
        <v>107</v>
      </c>
      <c r="D29" s="2">
        <v>21518241016</v>
      </c>
      <c r="E29" s="2">
        <v>2021</v>
      </c>
      <c r="F29" s="2" t="s">
        <v>29</v>
      </c>
      <c r="G29" s="2">
        <v>4</v>
      </c>
      <c r="H29" s="2">
        <v>4</v>
      </c>
      <c r="I29" s="2">
        <v>3</v>
      </c>
      <c r="J29" s="2">
        <v>4</v>
      </c>
      <c r="K29" s="2">
        <v>4</v>
      </c>
      <c r="L29" s="2">
        <v>4</v>
      </c>
      <c r="M29" s="2">
        <v>4</v>
      </c>
      <c r="N29" s="2">
        <v>4</v>
      </c>
      <c r="O29" s="2">
        <v>4</v>
      </c>
      <c r="P29" s="2">
        <v>4</v>
      </c>
      <c r="Q29" s="2">
        <v>4</v>
      </c>
      <c r="R29" s="2">
        <v>4</v>
      </c>
      <c r="S29" s="2">
        <v>4</v>
      </c>
      <c r="T29" s="2">
        <v>4</v>
      </c>
      <c r="U29" s="2">
        <v>4</v>
      </c>
      <c r="V29" s="2">
        <v>4</v>
      </c>
      <c r="W29" s="2">
        <v>4</v>
      </c>
      <c r="X29" s="2">
        <v>4</v>
      </c>
      <c r="Y29" s="2">
        <v>4</v>
      </c>
      <c r="Z29" s="2">
        <v>4</v>
      </c>
      <c r="AA29" s="3" t="s">
        <v>108</v>
      </c>
    </row>
    <row r="30" spans="1:27" ht="12.75" x14ac:dyDescent="0.2">
      <c r="A30" s="4">
        <v>45882.742792256948</v>
      </c>
      <c r="B30" s="5" t="s">
        <v>109</v>
      </c>
      <c r="C30" s="5" t="s">
        <v>110</v>
      </c>
      <c r="D30" s="5">
        <v>21518241034</v>
      </c>
      <c r="E30" s="5">
        <v>2021</v>
      </c>
      <c r="F30" s="5" t="s">
        <v>29</v>
      </c>
      <c r="G30" s="5">
        <v>4</v>
      </c>
      <c r="H30" s="5">
        <v>4</v>
      </c>
      <c r="I30" s="5">
        <v>4</v>
      </c>
      <c r="J30" s="5">
        <v>4</v>
      </c>
      <c r="K30" s="5">
        <v>4</v>
      </c>
      <c r="L30" s="5">
        <v>4</v>
      </c>
      <c r="M30" s="5">
        <v>4</v>
      </c>
      <c r="N30" s="5">
        <v>4</v>
      </c>
      <c r="O30" s="5">
        <v>4</v>
      </c>
      <c r="P30" s="5">
        <v>4</v>
      </c>
      <c r="Q30" s="5">
        <v>4</v>
      </c>
      <c r="R30" s="5">
        <v>4</v>
      </c>
      <c r="S30" s="5">
        <v>4</v>
      </c>
      <c r="T30" s="5">
        <v>4</v>
      </c>
      <c r="U30" s="5">
        <v>4</v>
      </c>
      <c r="V30" s="5">
        <v>4</v>
      </c>
      <c r="W30" s="5">
        <v>4</v>
      </c>
      <c r="X30" s="5">
        <v>4</v>
      </c>
      <c r="Y30" s="5">
        <v>4</v>
      </c>
      <c r="Z30" s="5">
        <v>4</v>
      </c>
      <c r="AA30" s="6" t="s">
        <v>111</v>
      </c>
    </row>
    <row r="31" spans="1:27" ht="12.75" x14ac:dyDescent="0.2">
      <c r="A31" s="7">
        <v>45883.766259201388</v>
      </c>
      <c r="B31" s="8" t="s">
        <v>112</v>
      </c>
      <c r="C31" s="8" t="s">
        <v>113</v>
      </c>
      <c r="D31" s="8">
        <v>21518241010</v>
      </c>
      <c r="E31" s="8">
        <v>2021</v>
      </c>
      <c r="F31" s="8" t="s">
        <v>29</v>
      </c>
      <c r="G31" s="8">
        <v>4</v>
      </c>
      <c r="H31" s="8">
        <v>4</v>
      </c>
      <c r="I31" s="8">
        <v>4</v>
      </c>
      <c r="J31" s="8">
        <v>4</v>
      </c>
      <c r="K31" s="8">
        <v>4</v>
      </c>
      <c r="L31" s="8">
        <v>4</v>
      </c>
      <c r="M31" s="8">
        <v>4</v>
      </c>
      <c r="N31" s="8">
        <v>4</v>
      </c>
      <c r="O31" s="8">
        <v>4</v>
      </c>
      <c r="P31" s="8">
        <v>4</v>
      </c>
      <c r="Q31" s="8">
        <v>4</v>
      </c>
      <c r="R31" s="8">
        <v>4</v>
      </c>
      <c r="S31" s="8">
        <v>4</v>
      </c>
      <c r="T31" s="8">
        <v>4</v>
      </c>
      <c r="U31" s="8">
        <v>4</v>
      </c>
      <c r="V31" s="8">
        <v>4</v>
      </c>
      <c r="W31" s="8">
        <v>4</v>
      </c>
      <c r="X31" s="8">
        <v>4</v>
      </c>
      <c r="Y31" s="8">
        <v>4</v>
      </c>
      <c r="Z31" s="8">
        <v>4</v>
      </c>
      <c r="AA31" s="9" t="s">
        <v>114</v>
      </c>
    </row>
    <row r="32" spans="1:27" ht="12.75" x14ac:dyDescent="0.2">
      <c r="B32" s="10" t="s">
        <v>116</v>
      </c>
      <c r="C32" s="10" t="s">
        <v>120</v>
      </c>
      <c r="D32" s="10" t="s">
        <v>121</v>
      </c>
      <c r="E32" s="10" t="s">
        <v>122</v>
      </c>
      <c r="F32" s="10" t="s">
        <v>123</v>
      </c>
      <c r="G32" s="10" t="s">
        <v>125</v>
      </c>
    </row>
    <row r="33" spans="1:7" ht="21.75" customHeight="1" x14ac:dyDescent="0.2">
      <c r="A33" s="10" t="s">
        <v>115</v>
      </c>
      <c r="B33">
        <f>COUNT(G2:L2)</f>
        <v>6</v>
      </c>
      <c r="C33">
        <f>B33*B39</f>
        <v>180</v>
      </c>
      <c r="D33">
        <f>4*B33*B39</f>
        <v>720</v>
      </c>
      <c r="E33" s="22">
        <f>F33/B39</f>
        <v>20.433333333333334</v>
      </c>
      <c r="F33">
        <f>SUM(G6:L31)</f>
        <v>613</v>
      </c>
      <c r="G33" s="15">
        <f>F33/D33</f>
        <v>0.85138888888888886</v>
      </c>
    </row>
    <row r="34" spans="1:7" ht="15.75" customHeight="1" x14ac:dyDescent="0.2">
      <c r="A34" t="s">
        <v>117</v>
      </c>
      <c r="B34">
        <f>COUNT(M2:T2)</f>
        <v>8</v>
      </c>
      <c r="C34">
        <f>B34*B39</f>
        <v>240</v>
      </c>
      <c r="D34">
        <f>4*B34*B39</f>
        <v>960</v>
      </c>
      <c r="E34" s="22">
        <f>F34/B39</f>
        <v>29.833333333333332</v>
      </c>
      <c r="F34">
        <f>SUM(M2:T31)</f>
        <v>895</v>
      </c>
      <c r="G34" s="15">
        <f t="shared" ref="G34:G35" si="0">F34/D34</f>
        <v>0.93229166666666663</v>
      </c>
    </row>
    <row r="35" spans="1:7" ht="15.75" customHeight="1" x14ac:dyDescent="0.2">
      <c r="A35" t="s">
        <v>118</v>
      </c>
      <c r="B35">
        <f>COUNT(U10:Z10)</f>
        <v>6</v>
      </c>
      <c r="C35">
        <f>B35*B39</f>
        <v>180</v>
      </c>
      <c r="D35">
        <f>4*B35*B39</f>
        <v>720</v>
      </c>
      <c r="E35" s="22">
        <f>F35/B39</f>
        <v>20.5</v>
      </c>
      <c r="F35">
        <f>SUM(U6:Z31)</f>
        <v>615</v>
      </c>
      <c r="G35" s="15">
        <f t="shared" si="0"/>
        <v>0.85416666666666663</v>
      </c>
    </row>
    <row r="37" spans="1:7" ht="15.75" customHeight="1" x14ac:dyDescent="0.2">
      <c r="A37" s="10" t="s">
        <v>119</v>
      </c>
      <c r="B37">
        <f>SUM(B33:B35)</f>
        <v>20</v>
      </c>
      <c r="C37">
        <f>SUM(C33:C35)</f>
        <v>600</v>
      </c>
      <c r="D37">
        <f t="shared" ref="D37:G37" si="1">SUM(D33:D35)</f>
        <v>2400</v>
      </c>
      <c r="E37">
        <f t="shared" si="1"/>
        <v>70.766666666666666</v>
      </c>
      <c r="F37">
        <f t="shared" si="1"/>
        <v>2123</v>
      </c>
      <c r="G37" s="16">
        <f>F37/D37</f>
        <v>0.88458333333333339</v>
      </c>
    </row>
    <row r="39" spans="1:7" ht="15.75" customHeight="1" x14ac:dyDescent="0.2">
      <c r="A39" s="10" t="s">
        <v>124</v>
      </c>
      <c r="B39">
        <f>COUNT(G2:G31)</f>
        <v>30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1E360-0694-40AB-B664-8146E5DB7F35}">
  <dimension ref="A1:U69"/>
  <sheetViews>
    <sheetView topLeftCell="A38" workbookViewId="0">
      <selection activeCell="B69" sqref="B69"/>
    </sheetView>
  </sheetViews>
  <sheetFormatPr defaultRowHeight="12.75" x14ac:dyDescent="0.2"/>
  <cols>
    <col min="1" max="1" width="17.28515625" customWidth="1"/>
  </cols>
  <sheetData>
    <row r="1" spans="2:21" x14ac:dyDescent="0.2">
      <c r="B1" s="17">
        <v>4</v>
      </c>
      <c r="C1" s="17">
        <v>4</v>
      </c>
      <c r="D1" s="17">
        <v>4</v>
      </c>
      <c r="E1" s="17">
        <v>4</v>
      </c>
      <c r="F1" s="17">
        <v>4</v>
      </c>
      <c r="G1" s="17">
        <v>4</v>
      </c>
      <c r="H1" s="17">
        <v>4</v>
      </c>
      <c r="I1" s="17">
        <v>4</v>
      </c>
      <c r="J1" s="17">
        <v>4</v>
      </c>
      <c r="K1" s="17">
        <v>4</v>
      </c>
      <c r="L1" s="17">
        <v>4</v>
      </c>
      <c r="M1" s="17">
        <v>4</v>
      </c>
      <c r="N1" s="17">
        <v>4</v>
      </c>
      <c r="O1" s="17">
        <v>4</v>
      </c>
      <c r="P1" s="17">
        <v>4</v>
      </c>
      <c r="Q1" s="17">
        <v>4</v>
      </c>
      <c r="R1" s="17">
        <v>4</v>
      </c>
      <c r="S1" s="17">
        <v>4</v>
      </c>
      <c r="T1" s="17">
        <v>4</v>
      </c>
      <c r="U1" s="17">
        <v>4</v>
      </c>
    </row>
    <row r="2" spans="2:21" x14ac:dyDescent="0.2">
      <c r="B2" s="18">
        <v>4</v>
      </c>
      <c r="C2" s="18">
        <v>4</v>
      </c>
      <c r="D2" s="18">
        <v>4</v>
      </c>
      <c r="E2" s="18">
        <v>4</v>
      </c>
      <c r="F2" s="18">
        <v>4</v>
      </c>
      <c r="G2" s="18">
        <v>4</v>
      </c>
      <c r="H2" s="18">
        <v>4</v>
      </c>
      <c r="I2" s="18">
        <v>4</v>
      </c>
      <c r="J2" s="18">
        <v>4</v>
      </c>
      <c r="K2" s="18">
        <v>4</v>
      </c>
      <c r="L2" s="18">
        <v>4</v>
      </c>
      <c r="M2" s="18">
        <v>4</v>
      </c>
      <c r="N2" s="18">
        <v>4</v>
      </c>
      <c r="O2" s="18">
        <v>4</v>
      </c>
      <c r="P2" s="18">
        <v>4</v>
      </c>
      <c r="Q2" s="18">
        <v>4</v>
      </c>
      <c r="R2" s="18">
        <v>4</v>
      </c>
      <c r="S2" s="18">
        <v>4</v>
      </c>
      <c r="T2" s="18">
        <v>4</v>
      </c>
      <c r="U2" s="18">
        <v>4</v>
      </c>
    </row>
    <row r="3" spans="2:21" x14ac:dyDescent="0.2">
      <c r="B3" s="19">
        <v>4</v>
      </c>
      <c r="C3" s="19">
        <v>4</v>
      </c>
      <c r="D3" s="19">
        <v>4</v>
      </c>
      <c r="E3" s="19">
        <v>4</v>
      </c>
      <c r="F3" s="19">
        <v>4</v>
      </c>
      <c r="G3" s="19">
        <v>4</v>
      </c>
      <c r="H3" s="19">
        <v>4</v>
      </c>
      <c r="I3" s="19">
        <v>4</v>
      </c>
      <c r="J3" s="19">
        <v>4</v>
      </c>
      <c r="K3" s="19">
        <v>4</v>
      </c>
      <c r="L3" s="19">
        <v>4</v>
      </c>
      <c r="M3" s="19">
        <v>4</v>
      </c>
      <c r="N3" s="19">
        <v>4</v>
      </c>
      <c r="O3" s="19">
        <v>3</v>
      </c>
      <c r="P3" s="19">
        <v>4</v>
      </c>
      <c r="Q3" s="19">
        <v>4</v>
      </c>
      <c r="R3" s="19">
        <v>4</v>
      </c>
      <c r="S3" s="19">
        <v>4</v>
      </c>
      <c r="T3" s="19">
        <v>4</v>
      </c>
      <c r="U3" s="19">
        <v>4</v>
      </c>
    </row>
    <row r="4" spans="2:21" x14ac:dyDescent="0.2">
      <c r="B4" s="20">
        <v>4</v>
      </c>
      <c r="C4" s="20">
        <v>4</v>
      </c>
      <c r="D4" s="20">
        <v>4</v>
      </c>
      <c r="E4" s="20">
        <v>4</v>
      </c>
      <c r="F4" s="20">
        <v>4</v>
      </c>
      <c r="G4" s="20">
        <v>4</v>
      </c>
      <c r="H4" s="20">
        <v>4</v>
      </c>
      <c r="I4" s="20">
        <v>4</v>
      </c>
      <c r="J4" s="20">
        <v>3</v>
      </c>
      <c r="K4" s="20">
        <v>4</v>
      </c>
      <c r="L4" s="20">
        <v>4</v>
      </c>
      <c r="M4" s="20">
        <v>4</v>
      </c>
      <c r="N4" s="20">
        <v>3</v>
      </c>
      <c r="O4" s="20">
        <v>3</v>
      </c>
      <c r="P4" s="20">
        <v>3</v>
      </c>
      <c r="Q4" s="20">
        <v>3</v>
      </c>
      <c r="R4" s="20">
        <v>3</v>
      </c>
      <c r="S4" s="20">
        <v>3</v>
      </c>
      <c r="T4" s="20">
        <v>4</v>
      </c>
      <c r="U4" s="20">
        <v>3</v>
      </c>
    </row>
    <row r="5" spans="2:21" x14ac:dyDescent="0.2">
      <c r="B5" s="17">
        <v>4</v>
      </c>
      <c r="C5" s="17">
        <v>4</v>
      </c>
      <c r="D5" s="17">
        <v>4</v>
      </c>
      <c r="E5" s="17">
        <v>4</v>
      </c>
      <c r="F5" s="17">
        <v>4</v>
      </c>
      <c r="G5" s="17">
        <v>4</v>
      </c>
      <c r="H5" s="17">
        <v>4</v>
      </c>
      <c r="I5" s="17">
        <v>3</v>
      </c>
      <c r="J5" s="17">
        <v>4</v>
      </c>
      <c r="K5" s="17">
        <v>4</v>
      </c>
      <c r="L5" s="17">
        <v>3</v>
      </c>
      <c r="M5" s="17">
        <v>4</v>
      </c>
      <c r="N5" s="17">
        <v>4</v>
      </c>
      <c r="O5" s="17">
        <v>3</v>
      </c>
      <c r="P5" s="17">
        <v>4</v>
      </c>
      <c r="Q5" s="17">
        <v>4</v>
      </c>
      <c r="R5" s="17">
        <v>4</v>
      </c>
      <c r="S5" s="17">
        <v>4</v>
      </c>
      <c r="T5" s="17">
        <v>4</v>
      </c>
      <c r="U5" s="17">
        <v>4</v>
      </c>
    </row>
    <row r="6" spans="2:21" x14ac:dyDescent="0.2">
      <c r="B6" s="20">
        <v>4</v>
      </c>
      <c r="C6" s="20">
        <v>4</v>
      </c>
      <c r="D6" s="20">
        <v>4</v>
      </c>
      <c r="E6" s="20">
        <v>4</v>
      </c>
      <c r="F6" s="20">
        <v>4</v>
      </c>
      <c r="G6" s="20">
        <v>4</v>
      </c>
      <c r="H6" s="20">
        <v>3</v>
      </c>
      <c r="I6" s="20">
        <v>4</v>
      </c>
      <c r="J6" s="20">
        <v>4</v>
      </c>
      <c r="K6" s="20">
        <v>3</v>
      </c>
      <c r="L6" s="20">
        <v>4</v>
      </c>
      <c r="M6" s="20">
        <v>4</v>
      </c>
      <c r="N6" s="20">
        <v>3</v>
      </c>
      <c r="O6" s="20">
        <v>3</v>
      </c>
      <c r="P6" s="20">
        <v>4</v>
      </c>
      <c r="Q6" s="20">
        <v>4</v>
      </c>
      <c r="R6" s="20">
        <v>3</v>
      </c>
      <c r="S6" s="20">
        <v>4</v>
      </c>
      <c r="T6" s="20">
        <v>4</v>
      </c>
      <c r="U6" s="20">
        <v>4</v>
      </c>
    </row>
    <row r="7" spans="2:21" x14ac:dyDescent="0.2">
      <c r="B7" s="17">
        <v>4</v>
      </c>
      <c r="C7" s="17">
        <v>4</v>
      </c>
      <c r="D7" s="17">
        <v>4</v>
      </c>
      <c r="E7" s="17">
        <v>4</v>
      </c>
      <c r="F7" s="17">
        <v>4</v>
      </c>
      <c r="G7" s="17">
        <v>4</v>
      </c>
      <c r="H7" s="17">
        <v>4</v>
      </c>
      <c r="I7" s="17">
        <v>3</v>
      </c>
      <c r="J7" s="17">
        <v>4</v>
      </c>
      <c r="K7" s="17">
        <v>3</v>
      </c>
      <c r="L7" s="17">
        <v>4</v>
      </c>
      <c r="M7" s="17">
        <v>4</v>
      </c>
      <c r="N7" s="17">
        <v>4</v>
      </c>
      <c r="O7" s="17">
        <v>4</v>
      </c>
      <c r="P7" s="17">
        <v>4</v>
      </c>
      <c r="Q7" s="17">
        <v>4</v>
      </c>
      <c r="R7" s="17">
        <v>4</v>
      </c>
      <c r="S7" s="17">
        <v>4</v>
      </c>
      <c r="T7" s="17">
        <v>4</v>
      </c>
      <c r="U7" s="17">
        <v>4</v>
      </c>
    </row>
    <row r="8" spans="2:21" x14ac:dyDescent="0.2">
      <c r="B8" s="20">
        <v>4</v>
      </c>
      <c r="C8" s="20">
        <v>4</v>
      </c>
      <c r="D8" s="20">
        <v>4</v>
      </c>
      <c r="E8" s="20">
        <v>3</v>
      </c>
      <c r="F8" s="20">
        <v>4</v>
      </c>
      <c r="G8" s="20">
        <v>4</v>
      </c>
      <c r="H8" s="20">
        <v>4</v>
      </c>
      <c r="I8" s="20">
        <v>3</v>
      </c>
      <c r="J8" s="20">
        <v>4</v>
      </c>
      <c r="K8" s="20">
        <v>3</v>
      </c>
      <c r="L8" s="20">
        <v>4</v>
      </c>
      <c r="M8" s="20">
        <v>3</v>
      </c>
      <c r="N8" s="20">
        <v>4</v>
      </c>
      <c r="O8" s="20">
        <v>3</v>
      </c>
      <c r="P8" s="20">
        <v>4</v>
      </c>
      <c r="Q8" s="20">
        <v>4</v>
      </c>
      <c r="R8" s="20">
        <v>4</v>
      </c>
      <c r="S8" s="20">
        <v>4</v>
      </c>
      <c r="T8" s="20">
        <v>3</v>
      </c>
      <c r="U8" s="20">
        <v>4</v>
      </c>
    </row>
    <row r="9" spans="2:21" x14ac:dyDescent="0.2">
      <c r="B9" s="17">
        <v>4</v>
      </c>
      <c r="C9" s="17">
        <v>4</v>
      </c>
      <c r="D9" s="17">
        <v>4</v>
      </c>
      <c r="E9" s="17">
        <v>4</v>
      </c>
      <c r="F9" s="17">
        <v>4</v>
      </c>
      <c r="G9" s="17">
        <v>4</v>
      </c>
      <c r="H9" s="17">
        <v>3</v>
      </c>
      <c r="I9" s="17">
        <v>4</v>
      </c>
      <c r="J9" s="17">
        <v>3</v>
      </c>
      <c r="K9" s="17">
        <v>4</v>
      </c>
      <c r="L9" s="17">
        <v>4</v>
      </c>
      <c r="M9" s="17">
        <v>4</v>
      </c>
      <c r="N9" s="17">
        <v>3</v>
      </c>
      <c r="O9" s="17">
        <v>3</v>
      </c>
      <c r="P9" s="17">
        <v>4</v>
      </c>
      <c r="Q9" s="17">
        <v>4</v>
      </c>
      <c r="R9" s="17">
        <v>4</v>
      </c>
      <c r="S9" s="17">
        <v>4</v>
      </c>
      <c r="T9" s="17">
        <v>4</v>
      </c>
      <c r="U9" s="17">
        <v>4</v>
      </c>
    </row>
    <row r="10" spans="2:21" x14ac:dyDescent="0.2">
      <c r="B10" s="20">
        <v>4</v>
      </c>
      <c r="C10" s="20">
        <v>4</v>
      </c>
      <c r="D10" s="20">
        <v>4</v>
      </c>
      <c r="E10" s="20">
        <v>4</v>
      </c>
      <c r="F10" s="20">
        <v>4</v>
      </c>
      <c r="G10" s="20">
        <v>4</v>
      </c>
      <c r="H10" s="20">
        <v>4</v>
      </c>
      <c r="I10" s="20">
        <v>4</v>
      </c>
      <c r="J10" s="20">
        <v>4</v>
      </c>
      <c r="K10" s="20">
        <v>4</v>
      </c>
      <c r="L10" s="20">
        <v>4</v>
      </c>
      <c r="M10" s="20">
        <v>4</v>
      </c>
      <c r="N10" s="20">
        <v>4</v>
      </c>
      <c r="O10" s="20">
        <v>4</v>
      </c>
      <c r="P10" s="20">
        <v>4</v>
      </c>
      <c r="Q10" s="20">
        <v>4</v>
      </c>
      <c r="R10" s="20">
        <v>4</v>
      </c>
      <c r="S10" s="20">
        <v>4</v>
      </c>
      <c r="T10" s="20">
        <v>4</v>
      </c>
      <c r="U10" s="20">
        <v>4</v>
      </c>
    </row>
    <row r="11" spans="2:21" x14ac:dyDescent="0.2">
      <c r="B11" s="17">
        <v>4</v>
      </c>
      <c r="C11" s="17">
        <v>4</v>
      </c>
      <c r="D11" s="17">
        <v>4</v>
      </c>
      <c r="E11" s="17">
        <v>4</v>
      </c>
      <c r="F11" s="17">
        <v>4</v>
      </c>
      <c r="G11" s="17">
        <v>4</v>
      </c>
      <c r="H11" s="17">
        <v>3</v>
      </c>
      <c r="I11" s="17">
        <v>4</v>
      </c>
      <c r="J11" s="17">
        <v>4</v>
      </c>
      <c r="K11" s="17">
        <v>4</v>
      </c>
      <c r="L11" s="17">
        <v>4</v>
      </c>
      <c r="M11" s="17">
        <v>4</v>
      </c>
      <c r="N11" s="17">
        <v>4</v>
      </c>
      <c r="O11" s="17">
        <v>4</v>
      </c>
      <c r="P11" s="17">
        <v>4</v>
      </c>
      <c r="Q11" s="17">
        <v>4</v>
      </c>
      <c r="R11" s="17">
        <v>4</v>
      </c>
      <c r="S11" s="17">
        <v>4</v>
      </c>
      <c r="T11" s="17">
        <v>4</v>
      </c>
      <c r="U11" s="17">
        <v>4</v>
      </c>
    </row>
    <row r="12" spans="2:21" x14ac:dyDescent="0.2">
      <c r="B12" s="20">
        <v>4</v>
      </c>
      <c r="C12" s="20">
        <v>4</v>
      </c>
      <c r="D12" s="20">
        <v>4</v>
      </c>
      <c r="E12" s="20">
        <v>4</v>
      </c>
      <c r="F12" s="20">
        <v>4</v>
      </c>
      <c r="G12" s="20">
        <v>4</v>
      </c>
      <c r="H12" s="20">
        <v>4</v>
      </c>
      <c r="I12" s="20">
        <v>3</v>
      </c>
      <c r="J12" s="20">
        <v>4</v>
      </c>
      <c r="K12" s="20">
        <v>4</v>
      </c>
      <c r="L12" s="20">
        <v>4</v>
      </c>
      <c r="M12" s="20">
        <v>4</v>
      </c>
      <c r="N12" s="20">
        <v>3</v>
      </c>
      <c r="O12" s="20">
        <v>4</v>
      </c>
      <c r="P12" s="20">
        <v>4</v>
      </c>
      <c r="Q12" s="20">
        <v>4</v>
      </c>
      <c r="R12" s="20">
        <v>4</v>
      </c>
      <c r="S12" s="20">
        <v>4</v>
      </c>
      <c r="T12" s="20">
        <v>4</v>
      </c>
      <c r="U12" s="20">
        <v>4</v>
      </c>
    </row>
    <row r="13" spans="2:21" x14ac:dyDescent="0.2">
      <c r="B13" s="17">
        <v>4</v>
      </c>
      <c r="C13" s="17">
        <v>4</v>
      </c>
      <c r="D13" s="17">
        <v>4</v>
      </c>
      <c r="E13" s="17">
        <v>4</v>
      </c>
      <c r="F13" s="17">
        <v>4</v>
      </c>
      <c r="G13" s="17">
        <v>4</v>
      </c>
      <c r="H13" s="17">
        <v>3</v>
      </c>
      <c r="I13" s="17">
        <v>4</v>
      </c>
      <c r="J13" s="17">
        <v>3</v>
      </c>
      <c r="K13" s="17">
        <v>3</v>
      </c>
      <c r="L13" s="17">
        <v>4</v>
      </c>
      <c r="M13" s="17">
        <v>4</v>
      </c>
      <c r="N13" s="17">
        <v>3</v>
      </c>
      <c r="O13" s="17">
        <v>4</v>
      </c>
      <c r="P13" s="17">
        <v>4</v>
      </c>
      <c r="Q13" s="17">
        <v>4</v>
      </c>
      <c r="R13" s="17">
        <v>4</v>
      </c>
      <c r="S13" s="17">
        <v>4</v>
      </c>
      <c r="T13" s="17">
        <v>4</v>
      </c>
      <c r="U13" s="17">
        <v>4</v>
      </c>
    </row>
    <row r="14" spans="2:21" x14ac:dyDescent="0.2">
      <c r="B14" s="20">
        <v>4</v>
      </c>
      <c r="C14" s="20">
        <v>4</v>
      </c>
      <c r="D14" s="20">
        <v>4</v>
      </c>
      <c r="E14" s="20">
        <v>4</v>
      </c>
      <c r="F14" s="20">
        <v>4</v>
      </c>
      <c r="G14" s="20">
        <v>4</v>
      </c>
      <c r="H14" s="20">
        <v>4</v>
      </c>
      <c r="I14" s="20">
        <v>4</v>
      </c>
      <c r="J14" s="20">
        <v>3</v>
      </c>
      <c r="K14" s="20">
        <v>4</v>
      </c>
      <c r="L14" s="20">
        <v>3</v>
      </c>
      <c r="M14" s="20">
        <v>4</v>
      </c>
      <c r="N14" s="20">
        <v>4</v>
      </c>
      <c r="O14" s="20">
        <v>3</v>
      </c>
      <c r="P14" s="20">
        <v>4</v>
      </c>
      <c r="Q14" s="20">
        <v>4</v>
      </c>
      <c r="R14" s="20">
        <v>4</v>
      </c>
      <c r="S14" s="20">
        <v>4</v>
      </c>
      <c r="T14" s="20">
        <v>4</v>
      </c>
      <c r="U14" s="20">
        <v>4</v>
      </c>
    </row>
    <row r="15" spans="2:21" x14ac:dyDescent="0.2">
      <c r="B15" s="17">
        <v>4</v>
      </c>
      <c r="C15" s="17">
        <v>4</v>
      </c>
      <c r="D15" s="17">
        <v>4</v>
      </c>
      <c r="E15" s="17">
        <v>4</v>
      </c>
      <c r="F15" s="17">
        <v>4</v>
      </c>
      <c r="G15" s="17">
        <v>4</v>
      </c>
      <c r="H15" s="17">
        <v>4</v>
      </c>
      <c r="I15" s="17">
        <v>4</v>
      </c>
      <c r="J15" s="17">
        <v>3</v>
      </c>
      <c r="K15" s="17">
        <v>4</v>
      </c>
      <c r="L15" s="17">
        <v>3</v>
      </c>
      <c r="M15" s="17">
        <v>3</v>
      </c>
      <c r="N15" s="17">
        <v>4</v>
      </c>
      <c r="O15" s="17">
        <v>4</v>
      </c>
      <c r="P15" s="17">
        <v>4</v>
      </c>
      <c r="Q15" s="17">
        <v>4</v>
      </c>
      <c r="R15" s="17">
        <v>4</v>
      </c>
      <c r="S15" s="17">
        <v>3</v>
      </c>
      <c r="T15" s="17">
        <v>4</v>
      </c>
      <c r="U15" s="17">
        <v>4</v>
      </c>
    </row>
    <row r="16" spans="2:21" x14ac:dyDescent="0.2">
      <c r="B16" s="20">
        <v>4</v>
      </c>
      <c r="C16" s="20">
        <v>4</v>
      </c>
      <c r="D16" s="20">
        <v>4</v>
      </c>
      <c r="E16" s="20">
        <v>3</v>
      </c>
      <c r="F16" s="20">
        <v>4</v>
      </c>
      <c r="G16" s="20">
        <v>4</v>
      </c>
      <c r="H16" s="20">
        <v>4</v>
      </c>
      <c r="I16" s="20">
        <v>4</v>
      </c>
      <c r="J16" s="20">
        <v>3</v>
      </c>
      <c r="K16" s="20">
        <v>4</v>
      </c>
      <c r="L16" s="20">
        <v>3</v>
      </c>
      <c r="M16" s="20">
        <v>3</v>
      </c>
      <c r="N16" s="20">
        <v>4</v>
      </c>
      <c r="O16" s="20">
        <v>4</v>
      </c>
      <c r="P16" s="20">
        <v>4</v>
      </c>
      <c r="Q16" s="20">
        <v>4</v>
      </c>
      <c r="R16" s="20">
        <v>4</v>
      </c>
      <c r="S16" s="20">
        <v>4</v>
      </c>
      <c r="T16" s="20">
        <v>4</v>
      </c>
      <c r="U16" s="20">
        <v>4</v>
      </c>
    </row>
    <row r="17" spans="1:21" x14ac:dyDescent="0.2">
      <c r="B17" s="17">
        <v>4</v>
      </c>
      <c r="C17" s="17">
        <v>4</v>
      </c>
      <c r="D17" s="17">
        <v>4</v>
      </c>
      <c r="E17" s="17">
        <v>4</v>
      </c>
      <c r="F17" s="17">
        <v>4</v>
      </c>
      <c r="G17" s="17">
        <v>4</v>
      </c>
      <c r="H17" s="17">
        <v>4</v>
      </c>
      <c r="I17" s="17">
        <v>3</v>
      </c>
      <c r="J17" s="17">
        <v>3</v>
      </c>
      <c r="K17" s="17">
        <v>4</v>
      </c>
      <c r="L17" s="17">
        <v>3</v>
      </c>
      <c r="M17" s="17">
        <v>4</v>
      </c>
      <c r="N17" s="17">
        <v>4</v>
      </c>
      <c r="O17" s="17">
        <v>3</v>
      </c>
      <c r="P17" s="17">
        <v>4</v>
      </c>
      <c r="Q17" s="17">
        <v>4</v>
      </c>
      <c r="R17" s="17">
        <v>4</v>
      </c>
      <c r="S17" s="17">
        <v>4</v>
      </c>
      <c r="T17" s="17">
        <v>4</v>
      </c>
      <c r="U17" s="17">
        <v>4</v>
      </c>
    </row>
    <row r="18" spans="1:21" x14ac:dyDescent="0.2">
      <c r="B18" s="20">
        <v>4</v>
      </c>
      <c r="C18" s="20">
        <v>4</v>
      </c>
      <c r="D18" s="20">
        <v>4</v>
      </c>
      <c r="E18" s="20">
        <v>4</v>
      </c>
      <c r="F18" s="20">
        <v>4</v>
      </c>
      <c r="G18" s="20">
        <v>3</v>
      </c>
      <c r="H18" s="20">
        <v>4</v>
      </c>
      <c r="I18" s="20">
        <v>4</v>
      </c>
      <c r="J18" s="20">
        <v>4</v>
      </c>
      <c r="K18" s="20">
        <v>4</v>
      </c>
      <c r="L18" s="20">
        <v>4</v>
      </c>
      <c r="M18" s="20">
        <v>4</v>
      </c>
      <c r="N18" s="20">
        <v>4</v>
      </c>
      <c r="O18" s="20">
        <v>4</v>
      </c>
      <c r="P18" s="20">
        <v>4</v>
      </c>
      <c r="Q18" s="20">
        <v>4</v>
      </c>
      <c r="R18" s="20">
        <v>4</v>
      </c>
      <c r="S18" s="20">
        <v>4</v>
      </c>
      <c r="T18" s="20">
        <v>4</v>
      </c>
      <c r="U18" s="20">
        <v>4</v>
      </c>
    </row>
    <row r="19" spans="1:21" x14ac:dyDescent="0.2">
      <c r="B19" s="17">
        <v>4</v>
      </c>
      <c r="C19" s="17">
        <v>4</v>
      </c>
      <c r="D19" s="17">
        <v>3</v>
      </c>
      <c r="E19" s="17">
        <v>4</v>
      </c>
      <c r="F19" s="17">
        <v>3</v>
      </c>
      <c r="G19" s="17">
        <v>4</v>
      </c>
      <c r="H19" s="17">
        <v>4</v>
      </c>
      <c r="I19" s="17">
        <v>4</v>
      </c>
      <c r="J19" s="17">
        <v>4</v>
      </c>
      <c r="K19" s="17">
        <v>3</v>
      </c>
      <c r="L19" s="17">
        <v>4</v>
      </c>
      <c r="M19" s="17">
        <v>4</v>
      </c>
      <c r="N19" s="17">
        <v>4</v>
      </c>
      <c r="O19" s="17">
        <v>4</v>
      </c>
      <c r="P19" s="17">
        <v>4</v>
      </c>
      <c r="Q19" s="17">
        <v>4</v>
      </c>
      <c r="R19" s="17">
        <v>3</v>
      </c>
      <c r="S19" s="17">
        <v>4</v>
      </c>
      <c r="T19" s="17">
        <v>4</v>
      </c>
      <c r="U19" s="17">
        <v>4</v>
      </c>
    </row>
    <row r="20" spans="1:21" x14ac:dyDescent="0.2">
      <c r="B20" s="20">
        <v>4</v>
      </c>
      <c r="C20" s="20">
        <v>4</v>
      </c>
      <c r="D20" s="20">
        <v>4</v>
      </c>
      <c r="E20" s="20">
        <v>4</v>
      </c>
      <c r="F20" s="20">
        <v>4</v>
      </c>
      <c r="G20" s="20">
        <v>3</v>
      </c>
      <c r="H20" s="20">
        <v>4</v>
      </c>
      <c r="I20" s="20">
        <v>4</v>
      </c>
      <c r="J20" s="20">
        <v>4</v>
      </c>
      <c r="K20" s="20">
        <v>4</v>
      </c>
      <c r="L20" s="20">
        <v>4</v>
      </c>
      <c r="M20" s="20">
        <v>4</v>
      </c>
      <c r="N20" s="20">
        <v>3</v>
      </c>
      <c r="O20" s="20">
        <v>4</v>
      </c>
      <c r="P20" s="20">
        <v>4</v>
      </c>
      <c r="Q20" s="20">
        <v>4</v>
      </c>
      <c r="R20" s="20">
        <v>4</v>
      </c>
      <c r="S20" s="20">
        <v>4</v>
      </c>
      <c r="T20" s="20">
        <v>3</v>
      </c>
      <c r="U20" s="20">
        <v>4</v>
      </c>
    </row>
    <row r="21" spans="1:21" x14ac:dyDescent="0.2">
      <c r="B21" s="17">
        <v>4</v>
      </c>
      <c r="C21" s="17">
        <v>4</v>
      </c>
      <c r="D21" s="17">
        <v>3</v>
      </c>
      <c r="E21" s="17">
        <v>4</v>
      </c>
      <c r="F21" s="17">
        <v>4</v>
      </c>
      <c r="G21" s="17">
        <v>4</v>
      </c>
      <c r="H21" s="17">
        <v>3</v>
      </c>
      <c r="I21" s="17">
        <v>3</v>
      </c>
      <c r="J21" s="17">
        <v>4</v>
      </c>
      <c r="K21" s="17">
        <v>4</v>
      </c>
      <c r="L21" s="17">
        <v>4</v>
      </c>
      <c r="M21" s="17">
        <v>4</v>
      </c>
      <c r="N21" s="17">
        <v>3</v>
      </c>
      <c r="O21" s="17">
        <v>4</v>
      </c>
      <c r="P21" s="17">
        <v>4</v>
      </c>
      <c r="Q21" s="17">
        <v>4</v>
      </c>
      <c r="R21" s="17">
        <v>4</v>
      </c>
      <c r="S21" s="17">
        <v>4</v>
      </c>
      <c r="T21" s="17">
        <v>4</v>
      </c>
      <c r="U21" s="17">
        <v>4</v>
      </c>
    </row>
    <row r="22" spans="1:21" x14ac:dyDescent="0.2">
      <c r="B22" s="20">
        <v>4</v>
      </c>
      <c r="C22" s="20">
        <v>4</v>
      </c>
      <c r="D22" s="20">
        <v>4</v>
      </c>
      <c r="E22" s="20">
        <v>4</v>
      </c>
      <c r="F22" s="20">
        <v>4</v>
      </c>
      <c r="G22" s="20">
        <v>4</v>
      </c>
      <c r="H22" s="20">
        <v>3</v>
      </c>
      <c r="I22" s="20">
        <v>3</v>
      </c>
      <c r="J22" s="20">
        <v>3</v>
      </c>
      <c r="K22" s="20">
        <v>3</v>
      </c>
      <c r="L22" s="20">
        <v>4</v>
      </c>
      <c r="M22" s="20">
        <v>3</v>
      </c>
      <c r="N22" s="20">
        <v>3</v>
      </c>
      <c r="O22" s="20">
        <v>3</v>
      </c>
      <c r="P22" s="20">
        <v>3</v>
      </c>
      <c r="Q22" s="20">
        <v>4</v>
      </c>
      <c r="R22" s="20">
        <v>4</v>
      </c>
      <c r="S22" s="20">
        <v>4</v>
      </c>
      <c r="T22" s="20">
        <v>4</v>
      </c>
      <c r="U22" s="20">
        <v>4</v>
      </c>
    </row>
    <row r="23" spans="1:21" x14ac:dyDescent="0.2">
      <c r="B23" s="17">
        <v>4</v>
      </c>
      <c r="C23" s="17">
        <v>4</v>
      </c>
      <c r="D23" s="17">
        <v>4</v>
      </c>
      <c r="E23" s="17">
        <v>4</v>
      </c>
      <c r="F23" s="17">
        <v>4</v>
      </c>
      <c r="G23" s="17">
        <v>4</v>
      </c>
      <c r="H23" s="17">
        <v>4</v>
      </c>
      <c r="I23" s="17">
        <v>4</v>
      </c>
      <c r="J23" s="17">
        <v>3</v>
      </c>
      <c r="K23" s="17">
        <v>3</v>
      </c>
      <c r="L23" s="17">
        <v>4</v>
      </c>
      <c r="M23" s="17">
        <v>4</v>
      </c>
      <c r="N23" s="17">
        <v>3</v>
      </c>
      <c r="O23" s="17">
        <v>4</v>
      </c>
      <c r="P23" s="17">
        <v>4</v>
      </c>
      <c r="Q23" s="17">
        <v>4</v>
      </c>
      <c r="R23" s="17">
        <v>4</v>
      </c>
      <c r="S23" s="17">
        <v>4</v>
      </c>
      <c r="T23" s="17">
        <v>4</v>
      </c>
      <c r="U23" s="17">
        <v>4</v>
      </c>
    </row>
    <row r="24" spans="1:21" x14ac:dyDescent="0.2">
      <c r="B24" s="20">
        <v>4</v>
      </c>
      <c r="C24" s="20">
        <v>4</v>
      </c>
      <c r="D24" s="20">
        <v>4</v>
      </c>
      <c r="E24" s="20">
        <v>4</v>
      </c>
      <c r="F24" s="20">
        <v>4</v>
      </c>
      <c r="G24" s="20">
        <v>4</v>
      </c>
      <c r="H24" s="20">
        <v>4</v>
      </c>
      <c r="I24" s="20">
        <v>4</v>
      </c>
      <c r="J24" s="20">
        <v>3</v>
      </c>
      <c r="K24" s="20">
        <v>3</v>
      </c>
      <c r="L24" s="20">
        <v>4</v>
      </c>
      <c r="M24" s="20">
        <v>4</v>
      </c>
      <c r="N24" s="20">
        <v>4</v>
      </c>
      <c r="O24" s="20">
        <v>4</v>
      </c>
      <c r="P24" s="20">
        <v>4</v>
      </c>
      <c r="Q24" s="20">
        <v>4</v>
      </c>
      <c r="R24" s="20">
        <v>4</v>
      </c>
      <c r="S24" s="20">
        <v>4</v>
      </c>
      <c r="T24" s="20">
        <v>4</v>
      </c>
      <c r="U24" s="20">
        <v>4</v>
      </c>
    </row>
    <row r="25" spans="1:21" x14ac:dyDescent="0.2">
      <c r="B25" s="19">
        <v>4</v>
      </c>
      <c r="C25" s="19">
        <v>4</v>
      </c>
      <c r="D25" s="19">
        <v>4</v>
      </c>
      <c r="E25" s="19">
        <v>4</v>
      </c>
      <c r="F25" s="19">
        <v>4</v>
      </c>
      <c r="G25" s="19">
        <v>4</v>
      </c>
      <c r="H25" s="19">
        <v>4</v>
      </c>
      <c r="I25" s="19">
        <v>4</v>
      </c>
      <c r="J25" s="19">
        <v>4</v>
      </c>
      <c r="K25" s="19">
        <v>4</v>
      </c>
      <c r="L25" s="19">
        <v>4</v>
      </c>
      <c r="M25" s="19">
        <v>4</v>
      </c>
      <c r="N25" s="19">
        <v>4</v>
      </c>
      <c r="O25" s="19">
        <v>4</v>
      </c>
      <c r="P25" s="19">
        <v>4</v>
      </c>
      <c r="Q25" s="19">
        <v>4</v>
      </c>
      <c r="R25" s="19">
        <v>4</v>
      </c>
      <c r="S25" s="19">
        <v>4</v>
      </c>
      <c r="T25" s="19">
        <v>4</v>
      </c>
      <c r="U25" s="19">
        <v>4</v>
      </c>
    </row>
    <row r="26" spans="1:21" x14ac:dyDescent="0.2">
      <c r="B26" s="18">
        <v>4</v>
      </c>
      <c r="C26" s="18">
        <v>4</v>
      </c>
      <c r="D26" s="18">
        <v>4</v>
      </c>
      <c r="E26" s="18">
        <v>3</v>
      </c>
      <c r="F26" s="18">
        <v>3</v>
      </c>
      <c r="G26" s="18">
        <v>4</v>
      </c>
      <c r="H26" s="18">
        <v>3</v>
      </c>
      <c r="I26" s="18">
        <v>4</v>
      </c>
      <c r="J26" s="18">
        <v>3</v>
      </c>
      <c r="K26" s="18">
        <v>4</v>
      </c>
      <c r="L26" s="18">
        <v>3</v>
      </c>
      <c r="M26" s="18">
        <v>3</v>
      </c>
      <c r="N26" s="18">
        <v>3</v>
      </c>
      <c r="O26" s="18">
        <v>3</v>
      </c>
      <c r="P26" s="18">
        <v>4</v>
      </c>
      <c r="Q26" s="18">
        <v>4</v>
      </c>
      <c r="R26" s="18">
        <v>4</v>
      </c>
      <c r="S26" s="18">
        <v>3</v>
      </c>
      <c r="T26" s="18">
        <v>4</v>
      </c>
      <c r="U26" s="18">
        <v>3</v>
      </c>
    </row>
    <row r="27" spans="1:21" x14ac:dyDescent="0.2">
      <c r="B27" s="19">
        <v>3</v>
      </c>
      <c r="C27" s="19">
        <v>4</v>
      </c>
      <c r="D27" s="19">
        <v>4</v>
      </c>
      <c r="E27" s="19">
        <v>4</v>
      </c>
      <c r="F27" s="19">
        <v>4</v>
      </c>
      <c r="G27" s="19">
        <v>4</v>
      </c>
      <c r="H27" s="19">
        <v>3</v>
      </c>
      <c r="I27" s="19">
        <v>4</v>
      </c>
      <c r="J27" s="19">
        <v>4</v>
      </c>
      <c r="K27" s="19">
        <v>4</v>
      </c>
      <c r="L27" s="19">
        <v>4</v>
      </c>
      <c r="M27" s="19">
        <v>4</v>
      </c>
      <c r="N27" s="19">
        <v>4</v>
      </c>
      <c r="O27" s="19">
        <v>4</v>
      </c>
      <c r="P27" s="19">
        <v>4</v>
      </c>
      <c r="Q27" s="19">
        <v>4</v>
      </c>
      <c r="R27" s="19">
        <v>4</v>
      </c>
      <c r="S27" s="19">
        <v>4</v>
      </c>
      <c r="T27" s="19">
        <v>4</v>
      </c>
      <c r="U27" s="19">
        <v>3</v>
      </c>
    </row>
    <row r="28" spans="1:21" x14ac:dyDescent="0.2">
      <c r="B28" s="18">
        <v>4</v>
      </c>
      <c r="C28" s="18">
        <v>4</v>
      </c>
      <c r="D28" s="18">
        <v>3</v>
      </c>
      <c r="E28" s="18">
        <v>4</v>
      </c>
      <c r="F28" s="18">
        <v>4</v>
      </c>
      <c r="G28" s="18">
        <v>4</v>
      </c>
      <c r="H28" s="18">
        <v>4</v>
      </c>
      <c r="I28" s="18">
        <v>4</v>
      </c>
      <c r="J28" s="18">
        <v>4</v>
      </c>
      <c r="K28" s="18">
        <v>4</v>
      </c>
      <c r="L28" s="18">
        <v>4</v>
      </c>
      <c r="M28" s="18">
        <v>4</v>
      </c>
      <c r="N28" s="18">
        <v>4</v>
      </c>
      <c r="O28" s="18">
        <v>4</v>
      </c>
      <c r="P28" s="18">
        <v>4</v>
      </c>
      <c r="Q28" s="18">
        <v>4</v>
      </c>
      <c r="R28" s="18">
        <v>4</v>
      </c>
      <c r="S28" s="18">
        <v>4</v>
      </c>
      <c r="T28" s="18">
        <v>4</v>
      </c>
      <c r="U28" s="18">
        <v>4</v>
      </c>
    </row>
    <row r="29" spans="1:21" x14ac:dyDescent="0.2">
      <c r="B29" s="19">
        <v>4</v>
      </c>
      <c r="C29" s="19">
        <v>4</v>
      </c>
      <c r="D29" s="19">
        <v>4</v>
      </c>
      <c r="E29" s="19">
        <v>4</v>
      </c>
      <c r="F29" s="19">
        <v>4</v>
      </c>
      <c r="G29" s="19">
        <v>4</v>
      </c>
      <c r="H29" s="19">
        <v>4</v>
      </c>
      <c r="I29" s="19">
        <v>4</v>
      </c>
      <c r="J29" s="19">
        <v>4</v>
      </c>
      <c r="K29" s="19">
        <v>4</v>
      </c>
      <c r="L29" s="19">
        <v>4</v>
      </c>
      <c r="M29" s="19">
        <v>4</v>
      </c>
      <c r="N29" s="19">
        <v>4</v>
      </c>
      <c r="O29" s="19">
        <v>4</v>
      </c>
      <c r="P29" s="19">
        <v>4</v>
      </c>
      <c r="Q29" s="19">
        <v>4</v>
      </c>
      <c r="R29" s="19">
        <v>4</v>
      </c>
      <c r="S29" s="19">
        <v>4</v>
      </c>
      <c r="T29" s="19">
        <v>4</v>
      </c>
      <c r="U29" s="19">
        <v>4</v>
      </c>
    </row>
    <row r="30" spans="1:21" x14ac:dyDescent="0.2">
      <c r="B30" s="21">
        <v>4</v>
      </c>
      <c r="C30" s="21">
        <v>4</v>
      </c>
      <c r="D30" s="21">
        <v>4</v>
      </c>
      <c r="E30" s="21">
        <v>4</v>
      </c>
      <c r="F30" s="21">
        <v>4</v>
      </c>
      <c r="G30" s="21">
        <v>4</v>
      </c>
      <c r="H30" s="21">
        <v>4</v>
      </c>
      <c r="I30" s="21">
        <v>4</v>
      </c>
      <c r="J30" s="21">
        <v>4</v>
      </c>
      <c r="K30" s="21">
        <v>4</v>
      </c>
      <c r="L30" s="21">
        <v>4</v>
      </c>
      <c r="M30" s="21">
        <v>4</v>
      </c>
      <c r="N30" s="21">
        <v>4</v>
      </c>
      <c r="O30" s="21">
        <v>4</v>
      </c>
      <c r="P30" s="21">
        <v>4</v>
      </c>
      <c r="Q30" s="21">
        <v>4</v>
      </c>
      <c r="R30" s="21">
        <v>4</v>
      </c>
      <c r="S30" s="21">
        <v>4</v>
      </c>
      <c r="T30" s="21">
        <v>4</v>
      </c>
      <c r="U30" s="21">
        <v>4</v>
      </c>
    </row>
    <row r="31" spans="1:21" x14ac:dyDescent="0.2">
      <c r="A31" s="10" t="s">
        <v>126</v>
      </c>
      <c r="B31">
        <f>_xlfn.VAR.P(B1:B30)</f>
        <v>3.2222222222222222E-2</v>
      </c>
      <c r="C31">
        <f>_xlfn.VAR.P(C1:C30)</f>
        <v>0</v>
      </c>
      <c r="D31">
        <f t="shared" ref="D31:U31" si="0">_xlfn.VAR.P(D1:D30)</f>
        <v>9.0000000000000011E-2</v>
      </c>
      <c r="E31">
        <f t="shared" si="0"/>
        <v>9.0000000000000024E-2</v>
      </c>
      <c r="F31">
        <f t="shared" si="0"/>
        <v>6.222222222222222E-2</v>
      </c>
      <c r="G31">
        <f t="shared" si="0"/>
        <v>6.222222222222222E-2</v>
      </c>
      <c r="H31">
        <f t="shared" si="0"/>
        <v>0.19555555555555557</v>
      </c>
      <c r="I31">
        <f t="shared" si="0"/>
        <v>0.17888888888888888</v>
      </c>
      <c r="J31">
        <f t="shared" si="0"/>
        <v>0.23222222222222222</v>
      </c>
      <c r="K31">
        <f t="shared" si="0"/>
        <v>0.19555555555555557</v>
      </c>
      <c r="L31">
        <f t="shared" si="0"/>
        <v>0.16</v>
      </c>
      <c r="M31">
        <f t="shared" si="0"/>
        <v>0.13888888888888887</v>
      </c>
      <c r="N31">
        <f t="shared" si="0"/>
        <v>0.22222222222222221</v>
      </c>
      <c r="O31">
        <f t="shared" si="0"/>
        <v>0.22222222222222221</v>
      </c>
      <c r="P31">
        <f t="shared" si="0"/>
        <v>6.222222222222222E-2</v>
      </c>
      <c r="Q31">
        <f t="shared" si="0"/>
        <v>3.2222222222222187E-2</v>
      </c>
      <c r="R31">
        <f t="shared" si="0"/>
        <v>9.000000000000008E-2</v>
      </c>
      <c r="S31">
        <f t="shared" si="0"/>
        <v>9.0000000000000024E-2</v>
      </c>
      <c r="T31">
        <f t="shared" si="0"/>
        <v>6.222222222222222E-2</v>
      </c>
      <c r="U31">
        <f t="shared" si="0"/>
        <v>9.0000000000000024E-2</v>
      </c>
    </row>
    <row r="32" spans="1:21" x14ac:dyDescent="0.2">
      <c r="A32" s="10" t="s">
        <v>127</v>
      </c>
      <c r="B32">
        <f>SUM(31:31)</f>
        <v>2.3088888888888883</v>
      </c>
    </row>
    <row r="33" spans="1:2" x14ac:dyDescent="0.2">
      <c r="A33" s="10" t="s">
        <v>128</v>
      </c>
      <c r="B33">
        <f>SUM(1:1)</f>
        <v>80</v>
      </c>
    </row>
    <row r="34" spans="1:2" x14ac:dyDescent="0.2">
      <c r="B34">
        <f t="shared" ref="B34:B70" si="1">SUM(2:2)</f>
        <v>80</v>
      </c>
    </row>
    <row r="35" spans="1:2" x14ac:dyDescent="0.2">
      <c r="B35">
        <f t="shared" si="1"/>
        <v>79</v>
      </c>
    </row>
    <row r="36" spans="1:2" x14ac:dyDescent="0.2">
      <c r="B36">
        <f t="shared" si="1"/>
        <v>72</v>
      </c>
    </row>
    <row r="37" spans="1:2" x14ac:dyDescent="0.2">
      <c r="B37">
        <f t="shared" si="1"/>
        <v>77</v>
      </c>
    </row>
    <row r="38" spans="1:2" x14ac:dyDescent="0.2">
      <c r="B38">
        <f t="shared" si="1"/>
        <v>75</v>
      </c>
    </row>
    <row r="39" spans="1:2" x14ac:dyDescent="0.2">
      <c r="B39">
        <f t="shared" si="1"/>
        <v>78</v>
      </c>
    </row>
    <row r="40" spans="1:2" x14ac:dyDescent="0.2">
      <c r="B40">
        <f t="shared" si="1"/>
        <v>74</v>
      </c>
    </row>
    <row r="41" spans="1:2" x14ac:dyDescent="0.2">
      <c r="B41">
        <f t="shared" si="1"/>
        <v>76</v>
      </c>
    </row>
    <row r="42" spans="1:2" x14ac:dyDescent="0.2">
      <c r="B42">
        <f t="shared" si="1"/>
        <v>80</v>
      </c>
    </row>
    <row r="43" spans="1:2" x14ac:dyDescent="0.2">
      <c r="B43">
        <f t="shared" si="1"/>
        <v>79</v>
      </c>
    </row>
    <row r="44" spans="1:2" x14ac:dyDescent="0.2">
      <c r="B44">
        <f t="shared" si="1"/>
        <v>78</v>
      </c>
    </row>
    <row r="45" spans="1:2" x14ac:dyDescent="0.2">
      <c r="B45">
        <f t="shared" si="1"/>
        <v>76</v>
      </c>
    </row>
    <row r="46" spans="1:2" x14ac:dyDescent="0.2">
      <c r="B46">
        <f t="shared" si="1"/>
        <v>77</v>
      </c>
    </row>
    <row r="47" spans="1:2" x14ac:dyDescent="0.2">
      <c r="B47">
        <f t="shared" si="1"/>
        <v>76</v>
      </c>
    </row>
    <row r="48" spans="1:2" x14ac:dyDescent="0.2">
      <c r="B48">
        <f t="shared" si="1"/>
        <v>76</v>
      </c>
    </row>
    <row r="49" spans="1:2" x14ac:dyDescent="0.2">
      <c r="B49">
        <f t="shared" si="1"/>
        <v>76</v>
      </c>
    </row>
    <row r="50" spans="1:2" x14ac:dyDescent="0.2">
      <c r="B50">
        <f t="shared" si="1"/>
        <v>79</v>
      </c>
    </row>
    <row r="51" spans="1:2" x14ac:dyDescent="0.2">
      <c r="B51">
        <f t="shared" si="1"/>
        <v>76</v>
      </c>
    </row>
    <row r="52" spans="1:2" x14ac:dyDescent="0.2">
      <c r="B52">
        <f t="shared" si="1"/>
        <v>77</v>
      </c>
    </row>
    <row r="53" spans="1:2" x14ac:dyDescent="0.2">
      <c r="B53">
        <f t="shared" si="1"/>
        <v>76</v>
      </c>
    </row>
    <row r="54" spans="1:2" x14ac:dyDescent="0.2">
      <c r="B54">
        <f t="shared" si="1"/>
        <v>72</v>
      </c>
    </row>
    <row r="55" spans="1:2" x14ac:dyDescent="0.2">
      <c r="B55">
        <f t="shared" si="1"/>
        <v>77</v>
      </c>
    </row>
    <row r="56" spans="1:2" x14ac:dyDescent="0.2">
      <c r="B56">
        <f t="shared" si="1"/>
        <v>78</v>
      </c>
    </row>
    <row r="57" spans="1:2" x14ac:dyDescent="0.2">
      <c r="B57">
        <f t="shared" si="1"/>
        <v>80</v>
      </c>
    </row>
    <row r="58" spans="1:2" x14ac:dyDescent="0.2">
      <c r="B58">
        <f t="shared" si="1"/>
        <v>70</v>
      </c>
    </row>
    <row r="59" spans="1:2" x14ac:dyDescent="0.2">
      <c r="B59">
        <f t="shared" si="1"/>
        <v>77</v>
      </c>
    </row>
    <row r="60" spans="1:2" x14ac:dyDescent="0.2">
      <c r="B60">
        <f t="shared" si="1"/>
        <v>79</v>
      </c>
    </row>
    <row r="61" spans="1:2" x14ac:dyDescent="0.2">
      <c r="B61">
        <f t="shared" si="1"/>
        <v>80</v>
      </c>
    </row>
    <row r="62" spans="1:2" x14ac:dyDescent="0.2">
      <c r="B62">
        <f t="shared" si="1"/>
        <v>80</v>
      </c>
    </row>
    <row r="64" spans="1:2" x14ac:dyDescent="0.2">
      <c r="A64" s="10" t="s">
        <v>129</v>
      </c>
      <c r="B64">
        <f>_xlfn.VAR.P(B33:B62)</f>
        <v>6.4</v>
      </c>
    </row>
    <row r="65" spans="1:2" x14ac:dyDescent="0.2">
      <c r="A65" s="10" t="s">
        <v>130</v>
      </c>
      <c r="B65">
        <v>20</v>
      </c>
    </row>
    <row r="66" spans="1:2" x14ac:dyDescent="0.2">
      <c r="A66" t="s">
        <v>131</v>
      </c>
      <c r="B66">
        <f>SUM(31:31)</f>
        <v>2.3088888888888883</v>
      </c>
    </row>
    <row r="67" spans="1:2" x14ac:dyDescent="0.2">
      <c r="A67" t="s">
        <v>132</v>
      </c>
      <c r="B67">
        <f>B64</f>
        <v>6.4</v>
      </c>
    </row>
    <row r="69" spans="1:2" x14ac:dyDescent="0.2">
      <c r="A69" s="10" t="s">
        <v>133</v>
      </c>
      <c r="B69">
        <f>(B65/(B65-1))*(1-(B66/B67))</f>
        <v>0.67288011695906447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Form Responses 1</vt:lpstr>
      <vt:lpstr>Sheet1</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Kenutama Prasetyo</cp:lastModifiedBy>
  <dcterms:modified xsi:type="dcterms:W3CDTF">2025-08-20T07:17:43Z</dcterms:modified>
</cp:coreProperties>
</file>