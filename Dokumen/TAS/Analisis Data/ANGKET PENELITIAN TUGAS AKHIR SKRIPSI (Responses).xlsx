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chartsheets/sheet1.xml" ContentType="application/vnd.openxmlformats-officedocument.spreadsheetml.chartsheet+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tables/table1.xml" ContentType="application/vnd.openxmlformats-officedocument.spreadsheetml.tab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mc:AlternateContent xmlns:mc="http://schemas.openxmlformats.org/markup-compatibility/2006">
    <mc:Choice Requires="x15">
      <x15ac:absPath xmlns:x15ac="http://schemas.microsoft.com/office/spreadsheetml/2010/11/ac" url="D:\Skripsi\Dokumen\TAS\Analisis Data\"/>
    </mc:Choice>
  </mc:AlternateContent>
  <xr:revisionPtr revIDLastSave="0" documentId="13_ncr:1_{09D862E5-5515-4FED-8F6C-3F684D0F3373}" xr6:coauthVersionLast="47" xr6:coauthVersionMax="47" xr10:uidLastSave="{00000000-0000-0000-0000-000000000000}"/>
  <bookViews>
    <workbookView xWindow="-105" yWindow="0" windowWidth="14610" windowHeight="15585" activeTab="1" xr2:uid="{00000000-000D-0000-FFFF-FFFF00000000}"/>
  </bookViews>
  <sheets>
    <sheet name="Chart1" sheetId="2" r:id="rId1"/>
    <sheet name="Form Responses 1" sheetId="1" r:id="rId2"/>
    <sheet name="Sheet1" sheetId="3" r:id="rId3"/>
  </sheets>
  <externalReferences>
    <externalReference r:id="rId4"/>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9" i="3" l="1"/>
  <c r="B66" i="3"/>
  <c r="B67" i="3"/>
  <c r="B64" i="3"/>
  <c r="B40" i="3"/>
  <c r="B41" i="3"/>
  <c r="B42" i="3"/>
  <c r="B43" i="3"/>
  <c r="B44" i="3"/>
  <c r="B45" i="3"/>
  <c r="B46" i="3"/>
  <c r="B47" i="3"/>
  <c r="B48" i="3"/>
  <c r="B49" i="3"/>
  <c r="B50" i="3"/>
  <c r="B51" i="3"/>
  <c r="B52" i="3"/>
  <c r="B53" i="3"/>
  <c r="B54" i="3"/>
  <c r="B55" i="3"/>
  <c r="B56" i="3"/>
  <c r="B57" i="3"/>
  <c r="B58" i="3"/>
  <c r="B59" i="3"/>
  <c r="B60" i="3"/>
  <c r="B61" i="3"/>
  <c r="B62" i="3"/>
  <c r="B34" i="3"/>
  <c r="B35" i="3"/>
  <c r="B36" i="3"/>
  <c r="B37" i="3"/>
  <c r="B38" i="3"/>
  <c r="B39" i="3"/>
  <c r="B33" i="3"/>
  <c r="B32" i="3"/>
  <c r="D31" i="3"/>
  <c r="E31" i="3"/>
  <c r="F31" i="3"/>
  <c r="G31" i="3"/>
  <c r="H31" i="3"/>
  <c r="I31" i="3"/>
  <c r="J31" i="3"/>
  <c r="K31" i="3"/>
  <c r="L31" i="3"/>
  <c r="M31" i="3"/>
  <c r="N31" i="3"/>
  <c r="O31" i="3"/>
  <c r="P31" i="3"/>
  <c r="Q31" i="3"/>
  <c r="R31" i="3"/>
  <c r="S31" i="3"/>
  <c r="T31" i="3"/>
  <c r="U31" i="3"/>
  <c r="C31" i="3"/>
  <c r="B31" i="3"/>
  <c r="F35" i="1"/>
  <c r="F34" i="1"/>
  <c r="B39" i="1"/>
  <c r="F33" i="1"/>
  <c r="B35" i="1"/>
  <c r="B34" i="1"/>
  <c r="B33" i="1"/>
  <c r="E33" i="1" l="1"/>
  <c r="C34" i="1"/>
  <c r="B37" i="1"/>
  <c r="D33" i="1"/>
  <c r="D35" i="1"/>
  <c r="G35" i="1" s="1"/>
  <c r="E34" i="1"/>
  <c r="D34" i="1"/>
  <c r="G34" i="1" s="1"/>
  <c r="C35" i="1"/>
  <c r="E35" i="1"/>
  <c r="C33" i="1"/>
  <c r="F37" i="1"/>
  <c r="C37" i="1" l="1"/>
  <c r="E37" i="1"/>
  <c r="D37" i="1"/>
  <c r="G37" i="1" s="1"/>
  <c r="G33" i="1"/>
</calcChain>
</file>

<file path=xl/sharedStrings.xml><?xml version="1.0" encoding="utf-8"?>
<sst xmlns="http://schemas.openxmlformats.org/spreadsheetml/2006/main" count="166" uniqueCount="134">
  <si>
    <t>Timestamp</t>
  </si>
  <si>
    <t>Email</t>
  </si>
  <si>
    <t>Nama Lengkap</t>
  </si>
  <si>
    <t>NIM</t>
  </si>
  <si>
    <t>Angkatan</t>
  </si>
  <si>
    <t>Kelas</t>
  </si>
  <si>
    <t xml:space="preserve">1. Simulator sebagai media pembelajaran Kinematika dan Navigasi Swerve Drive Autonomous Mobile Robot membantu pemahaman prinsip kerja dan model kinematika sistem robot berbasis Swerve Drive. </t>
  </si>
  <si>
    <t>2. Penggunaan simulator sebagai media pembelajaran menambah pengetahuan peserta didik tentang cara kerja algoritma Pure Pursuit dalam mengikuti sebuah lintasan.</t>
  </si>
  <si>
    <t>3. Visualisasi 3D robot di Unity secara jelas menunjukkan bagaimana setiap modul roda berotasi dan berputar untuk menghasilkan gerakan robot.</t>
  </si>
  <si>
    <t>4. Materi pembelajaran pada modul dan labsheet disajikan secara jelas dan mudah dipahami.</t>
  </si>
  <si>
    <t>5. Mengamati hubungan visual antara posisi robot, titik target, dan garis lookahead pada dashboard memberikan wawasan baru tentang cara kerja Pure Pursuit.</t>
  </si>
  <si>
    <t>6. Media pembelajaran berbasis simulator ini memberikan pemahaman praktis tentang tantangan navigasi robot otonom yang tidak didapatkan hanya dari membaca teori.</t>
  </si>
  <si>
    <t>7. Dashboard Python memiliki tampilan yang terorganisir dan mudah untuk dimengerti didukung dengan materi petunjuk pada labsheet dan modul Simulator Kinematika dan Navigasi Swerve Drive yang lebih memperjelas penggunaan.</t>
  </si>
  <si>
    <t>8. Pengoperasian software Unity untuk simulasi dijelaskan secara detil melalui labsheet dan modul Simulator Kinematika dan Navigasi Swerve Drive.</t>
  </si>
  <si>
    <t>9. Sifat interaktif dari simulator (melihat perubahan secara langsung) mendorong peserta didik untuk lebih aktif mencoba dan bereksperimen.</t>
  </si>
  <si>
    <t xml:space="preserve">10.  Penggunaan media pembelajaran berbasis simulator membuat peserta didik lebih percaya diri untuk mencoba berbagai skenario dan menguji pengaruh parameter pengendalian karena tidak ada risiko merusak perangkat keras.  </t>
  </si>
  <si>
    <t>11. Penyajian informasi melalui tiga cara (visual 3D, plot 2D, dan teks data) membantu peserta didik memahami konsep dari berbagai sudut pandang.</t>
  </si>
  <si>
    <t>12. Tampilan visual dan interaktif pada simulator, seperti fitur zoom dan navigasi grafik, membantu peserta didik memahami materi secara lebih bervariasi dan menarik.</t>
  </si>
  <si>
    <t>13. Penggunaan simulator ini secara signifikan meningkatkan pemahaman peserta didik tentang implementasi kinematika Swerve Drive.</t>
  </si>
  <si>
    <t>14. Saya merasa lebih percaya diri untuk menjelaskan atau menerapkan algoritma pelacakan jalur setelah menggunakan media pembelajaran Simulator Kinematika dan Navigasi Swerve Drive.</t>
  </si>
  <si>
    <t>15. Prosedur untuk menjalankan dan menghubungkan simulator Unity dengan dashboard Python mudah untuk diikuti melalui petunjuk penggunaan pada Simulator Kinematika dan Navigasi Swerve Drive.</t>
  </si>
  <si>
    <t>16.  Petunjuk instalasi dan pengoperasian simulator yang dijelaskan di dalam modul Simulator Kinematika dan Navigasi Swerve Drive cukup jelas untuk diikuti.</t>
  </si>
  <si>
    <t>17. Menggunakan simulator sesuai panduan labsheet mempercepat proses pemahaman peserta didik karena dapat mengamati secara langsung perubahan dan respon sistem terhadap parameter yang diberikan.</t>
  </si>
  <si>
    <t>18.  Simulator ini mengurangi usaha dan waktu yang saya habiskan untuk mencari kesalahan (debugging), sehingga peserta didik bisa lebih fokus pada pemahaman konsep inti yang diajarkan di modul.</t>
  </si>
  <si>
    <t>19. Penggunaan simulator sebagai media pembelajaran lebih interaktif dan menarik karena memberikan pengalaman yang mirip dengan kondisi robot sebenarnya.</t>
  </si>
  <si>
    <t>20.  Media pembelajaran berbasis simulator dapat menunjukkan aplikasi nyata dari teori yang rumit, sehingga memotivasi peserta didik karena dapat melihat relevansi dan kegunaan dari apa yang telah dipelajari pada teori.</t>
  </si>
  <si>
    <t>Kritik dan Saran</t>
  </si>
  <si>
    <t>ariefyuli.2021@student.uny.ac.id</t>
  </si>
  <si>
    <t>Arief Yuli Nugroho</t>
  </si>
  <si>
    <t>E</t>
  </si>
  <si>
    <t>-</t>
  </si>
  <si>
    <t>juanega.2021@student.uny.ac.id</t>
  </si>
  <si>
    <t>Juan Ega Saputra</t>
  </si>
  <si>
    <t>Sudah bagus dan sangat membantu pemahaman</t>
  </si>
  <si>
    <t>maherlinafatoni.2021@student.uny.ac.id</t>
  </si>
  <si>
    <t>Maherlina Fatoni</t>
  </si>
  <si>
    <t>nurafiani.2022@student.uny.ac.id</t>
  </si>
  <si>
    <t xml:space="preserve">Nur Afiani Qonina </t>
  </si>
  <si>
    <t>Media pembelajaran "Simulator Kinematika dan Navigasi Swerve Drive" ini sangat membantu peserta didik. Tampilan visual dan interaktif pada simulator, seperti fitur zoom dan navigasi grafik, membantu peserta didik memahami materi secara lebih bervariasi dan menarik.</t>
  </si>
  <si>
    <t>raihanthariq4@gmail.com</t>
  </si>
  <si>
    <t>Raihan Thariq Aziz</t>
  </si>
  <si>
    <t>sudah baik</t>
  </si>
  <si>
    <t>razaannibras.2021@student.uny.ac.id</t>
  </si>
  <si>
    <t xml:space="preserve">Razaan Nibras Majid </t>
  </si>
  <si>
    <t>F</t>
  </si>
  <si>
    <t>Sudah sangat baik</t>
  </si>
  <si>
    <t>akbarnew700@gmail.com</t>
  </si>
  <si>
    <t xml:space="preserve">Husein Akbar Nur Rohman </t>
  </si>
  <si>
    <t>Sudah bagus</t>
  </si>
  <si>
    <t>akbararrazzaq.2021@student.uny.ac.id</t>
  </si>
  <si>
    <t>Akbar Arrazzaq</t>
  </si>
  <si>
    <t>sudah bagus, langsung lulus wae mas</t>
  </si>
  <si>
    <t>laurentiusgabriel.2021@student.uny.ac.id</t>
  </si>
  <si>
    <t>Laurentius Gabriel Krishna Pradipta</t>
  </si>
  <si>
    <t>bagusputra.2021@student.uny.ac.id</t>
  </si>
  <si>
    <t>Bagus Putra Setiyawan</t>
  </si>
  <si>
    <t>Auliashabrina.2022@student.uny.ac.id</t>
  </si>
  <si>
    <t xml:space="preserve">Aulia Shabrina Yuliani </t>
  </si>
  <si>
    <t>novebritito.2021@student.uny.ac.id</t>
  </si>
  <si>
    <t>Novebri Tito Ramadhani</t>
  </si>
  <si>
    <t>Modul pembelajaran nya sudah bagus dan mudah diikuti oleh pengguna</t>
  </si>
  <si>
    <t>alfinautami.2021@student.uny.ac.id</t>
  </si>
  <si>
    <t>Alfina Utami</t>
  </si>
  <si>
    <t>TAS Kinematika dan Navigasi Swere Drive dapat lebih bersifat interaktif.</t>
  </si>
  <si>
    <t>dewinur.2021@student.uny.ac.id</t>
  </si>
  <si>
    <t xml:space="preserve">Dewi Nur </t>
  </si>
  <si>
    <t>J</t>
  </si>
  <si>
    <t xml:space="preserve">Semangat </t>
  </si>
  <si>
    <t>dianissa3434ft.2021@student.uny.ac.id</t>
  </si>
  <si>
    <t>Dianissa Salsabila Dianty</t>
  </si>
  <si>
    <t>alifia40ft.2020@student.uny.ac.id</t>
  </si>
  <si>
    <t>Alifia Putri Qabila</t>
  </si>
  <si>
    <t>Mungkin dapat ditambahkan bab refleksi atau “troubleshooting umum” yang mungkin muncul saat simulasi pada labsheet. Misalnya: “Unity tidak menerima input dari Python”, “grafik tidak muncul”, dll.</t>
  </si>
  <si>
    <t>handoyotriwahyu@gmail.com</t>
  </si>
  <si>
    <t>Tri Wahyu Handoyo</t>
  </si>
  <si>
    <t>Mungkin lebih ditambah lagi animasinya, dan bisa dibuat lebih open source lagi, dimana peserta bisa explore lebih seperti menentukan path dan sebagainya 🙏🏻</t>
  </si>
  <si>
    <t>Syafrizalghifari.2022@student.uny.ac.id</t>
  </si>
  <si>
    <t xml:space="preserve">Syafrizal Ghifari </t>
  </si>
  <si>
    <t>Tingkatkan</t>
  </si>
  <si>
    <t>shevanovia.2021@student.uny.ac.id</t>
  </si>
  <si>
    <t>Sheva Novia Darmawan Sutopo</t>
  </si>
  <si>
    <t>Yess</t>
  </si>
  <si>
    <t xml:space="preserve">jonathantamunu05@gmail.com </t>
  </si>
  <si>
    <t xml:space="preserve">Jonathan Alfa Gustaf Tamunu </t>
  </si>
  <si>
    <t>Penggunaan media pembelajaran berbasis simulator memang memudahkan dalam hal trial and error. Tapi mungkin beberapa device mahasiswa tidak cukup kuat. Mungkin bisa ditambahkan saran spesifikasi device di dalam buku panduan</t>
  </si>
  <si>
    <t>yasabryan@gmail.com</t>
  </si>
  <si>
    <t xml:space="preserve">Ahmad Sabryan </t>
  </si>
  <si>
    <t>Sudah sesuai Dari kualitas bahan produk sangat bagus</t>
  </si>
  <si>
    <t>Cahyadwiyuanto.2021@student.uny.ac.id</t>
  </si>
  <si>
    <t>Cahya Dwiyuanto</t>
  </si>
  <si>
    <t>Perlu adanya pengembangan lebih lanjut tapi sudah sangat bagus</t>
  </si>
  <si>
    <t>raiyayusuf.p@gmail.com</t>
  </si>
  <si>
    <t>Raiya Yusuf Priatmojo</t>
  </si>
  <si>
    <t>Simulator Kinematika dan Navigasi Swerve Drive ini sangat membantu dalam memahami konsep secara visual dan interaktif, namun akan lebih baik jika dilengkapi dengan video tutorial atau contoh kasus yang lebih beragam untuk memudahkan pemula. Selain itu, penambahan fitur simulasi gangguan (noise) atau kesalahan umum dalam navigasi otonom bisa memperkaya pengalaman belajar. Secara keseluruhan, media ini sudah sangat baik, hanya perlu sedikit penyempurnaan untuk meningkatkan kedalaman dan kemudahan akses pembelajaran.</t>
  </si>
  <si>
    <t>rianamelisa.2021@student.uny.ac.id</t>
  </si>
  <si>
    <t xml:space="preserve">RIANA MELISA CANTIK </t>
  </si>
  <si>
    <t>Pengembangan sudah bagus karena lengkap dengan buku panduan dan labsheet</t>
  </si>
  <si>
    <t>khafiizhahmad.2021@student.uny.ac.id</t>
  </si>
  <si>
    <t>Khafiizh Ahmad M</t>
  </si>
  <si>
    <t>Dibuatnya 1 aplikasi kusus simulasi seperti software simulasi ciros milik festo sehingga lebih memudahkan lagi dalam penggunaan media pembelajaran.</t>
  </si>
  <si>
    <t>adiirawanmuhammad25@gmail.com</t>
  </si>
  <si>
    <t>Muhammad Adi Irawan</t>
  </si>
  <si>
    <t xml:space="preserve">Mungkin tambahan fitur panduan interaktif dan visualisasi gerakan yang lebih jelas agar pengguna dapat memahami konsep kinematika dan navigasi Swerve Drive dengan lebih cepat dan menarik
</t>
  </si>
  <si>
    <t>gigihjean.2021@student.uny.ac.id</t>
  </si>
  <si>
    <t>Gigih Jean Fariellana</t>
  </si>
  <si>
    <t>Sudah baik</t>
  </si>
  <si>
    <t>adityaelmadhani.2021@student.uny.ac.id</t>
  </si>
  <si>
    <t>Aditya Elmadhani Whilujeng</t>
  </si>
  <si>
    <t xml:space="preserve">Sudah sangat baik dan bagus
</t>
  </si>
  <si>
    <t>xcan1413@gmail.com</t>
  </si>
  <si>
    <t>Ikhsan Rasyid Arianto</t>
  </si>
  <si>
    <t>Sangat baik sekali</t>
  </si>
  <si>
    <t>safira0870ft.2021@student.uny.ac.id</t>
  </si>
  <si>
    <t>Safira Dwi Saharani</t>
  </si>
  <si>
    <t>Simulator ini sudah cukup menarik dan bermanfaat untuk memahami konsep kinematika dan navigasi Swerve Drive, apalagi sudah dilengkapi panduan penggunaan yang jelas sehingga memudahkan pengguna dalam praktik pembelajaran robotika.</t>
  </si>
  <si>
    <t>Kualitas Isi dan Tujuan</t>
  </si>
  <si>
    <t>Butir</t>
  </si>
  <si>
    <t>Kualitas Pembelajaran</t>
  </si>
  <si>
    <t>Penggunaan</t>
  </si>
  <si>
    <t>Total</t>
  </si>
  <si>
    <t>Smin</t>
  </si>
  <si>
    <t>Smaks</t>
  </si>
  <si>
    <t xml:space="preserve">Avg </t>
  </si>
  <si>
    <t>Skor</t>
  </si>
  <si>
    <t>Jumlah Mahasiswa</t>
  </si>
  <si>
    <t>Persentase</t>
  </si>
  <si>
    <t>Varians P</t>
  </si>
  <si>
    <t>Varians Butir</t>
  </si>
  <si>
    <t>Total Skor</t>
  </si>
  <si>
    <t>Varians Total Skor</t>
  </si>
  <si>
    <t>k</t>
  </si>
  <si>
    <t>Σs_i^2 </t>
  </si>
  <si>
    <t>s_t^2</t>
  </si>
  <si>
    <t>Alpha Cronbach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</si>
</sst>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m/d/yyyy\ h:mm:ss"/>
  </numFmts>
  <fonts count="3" x14ac:knownFonts="1">
    <font>
      <sz val="10"/>
      <color rgb="FF000000"/>
      <name val="Arial"/>
      <scheme val="minor"/>
    </font>
    <font>
      <sz val="10"/>
      <color theme="1"/>
      <name val="Arial"/>
      <family val="2"/>
      <scheme val="minor"/>
    </font>
    <font>
      <sz val="10"/>
      <color rgb="FF000000"/>
      <name val="Arial"/>
      <family val="2"/>
      <scheme val="minor"/>
    </font>
  </fonts>
  <fills count="5">
    <fill>
      <patternFill patternType="none"/>
    </fill>
    <fill>
      <patternFill patternType="gray125"/>
    </fill>
    <fill>
      <patternFill patternType="solid">
        <fgColor rgb="FFFFFFFF"/>
        <bgColor rgb="FFFFFFFF"/>
      </patternFill>
    </fill>
    <fill>
      <patternFill patternType="solid">
        <fgColor rgb="FFF8F9FA"/>
        <bgColor rgb="FFF8F9FA"/>
      </patternFill>
    </fill>
    <fill>
      <patternFill patternType="solid">
        <fgColor theme="4" tint="0.79998168889431442"/>
        <bgColor indexed="64"/>
      </patternFill>
    </fill>
  </fills>
  <borders count="13">
    <border>
      <left/>
      <right/>
      <top/>
      <bottom/>
      <diagonal/>
    </border>
    <border>
      <left style="thin">
        <color rgb="FF442F65"/>
      </left>
      <right style="thin">
        <color rgb="FF5B3F86"/>
      </right>
      <top style="thin">
        <color rgb="FF442F65"/>
      </top>
      <bottom style="thin">
        <color rgb="FF442F65"/>
      </bottom>
      <diagonal/>
    </border>
    <border>
      <left style="thin">
        <color rgb="FF5B3F86"/>
      </left>
      <right style="thin">
        <color rgb="FF5B3F86"/>
      </right>
      <top style="thin">
        <color rgb="FF442F65"/>
      </top>
      <bottom style="thin">
        <color rgb="FF442F65"/>
      </bottom>
      <diagonal/>
    </border>
    <border>
      <left style="thin">
        <color rgb="FF5B3F86"/>
      </left>
      <right style="thin">
        <color rgb="FF442F65"/>
      </right>
      <top style="thin">
        <color rgb="FF442F65"/>
      </top>
      <bottom style="thin">
        <color rgb="FF442F65"/>
      </bottom>
      <diagonal/>
    </border>
    <border>
      <left style="thin">
        <color rgb="FF442F65"/>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style="thin">
        <color rgb="FF442F65"/>
      </right>
      <top style="thin">
        <color rgb="FFFFFFFF"/>
      </top>
      <bottom style="thin">
        <color rgb="FFFFFFFF"/>
      </bottom>
      <diagonal/>
    </border>
    <border>
      <left style="thin">
        <color rgb="FF442F65"/>
      </left>
      <right style="thin">
        <color rgb="FFF8F9FA"/>
      </right>
      <top style="thin">
        <color rgb="FFF8F9FA"/>
      </top>
      <bottom style="thin">
        <color rgb="FFF8F9FA"/>
      </bottom>
      <diagonal/>
    </border>
    <border>
      <left style="thin">
        <color rgb="FFF8F9FA"/>
      </left>
      <right style="thin">
        <color rgb="FFF8F9FA"/>
      </right>
      <top style="thin">
        <color rgb="FFF8F9FA"/>
      </top>
      <bottom style="thin">
        <color rgb="FFF8F9FA"/>
      </bottom>
      <diagonal/>
    </border>
    <border>
      <left style="thin">
        <color rgb="FFF8F9FA"/>
      </left>
      <right style="thin">
        <color rgb="FF442F65"/>
      </right>
      <top style="thin">
        <color rgb="FFF8F9FA"/>
      </top>
      <bottom style="thin">
        <color rgb="FFF8F9FA"/>
      </bottom>
      <diagonal/>
    </border>
    <border>
      <left style="thin">
        <color rgb="FF442F65"/>
      </left>
      <right style="thin">
        <color rgb="FFFFFFFF"/>
      </right>
      <top style="thin">
        <color rgb="FFFFFFFF"/>
      </top>
      <bottom style="thin">
        <color rgb="FF442F65"/>
      </bottom>
      <diagonal/>
    </border>
    <border>
      <left style="thin">
        <color rgb="FFFFFFFF"/>
      </left>
      <right style="thin">
        <color rgb="FFFFFFFF"/>
      </right>
      <top style="thin">
        <color rgb="FFFFFFFF"/>
      </top>
      <bottom style="thin">
        <color rgb="FF442F65"/>
      </bottom>
      <diagonal/>
    </border>
    <border>
      <left style="thin">
        <color rgb="FFFFFFFF"/>
      </left>
      <right style="thin">
        <color rgb="FF442F65"/>
      </right>
      <top style="thin">
        <color rgb="FFFFFFFF"/>
      </top>
      <bottom style="thin">
        <color rgb="FF442F65"/>
      </bottom>
      <diagonal/>
    </border>
  </borders>
  <cellStyleXfs count="2">
    <xf numFmtId="0" fontId="0" fillId="0" borderId="0"/>
    <xf numFmtId="9" fontId="2" fillId="0" borderId="0" applyFont="0" applyFill="0" applyBorder="0" applyAlignment="0" applyProtection="0"/>
  </cellStyleXfs>
  <cellXfs count="23">
    <xf numFmtId="0" fontId="0" fillId="0" borderId="0" xfId="0"/>
    <xf numFmtId="164" fontId="1" fillId="0" borderId="4" xfId="0" applyNumberFormat="1" applyFont="1" applyBorder="1" applyAlignment="1">
      <alignment vertical="center"/>
    </xf>
    <xf numFmtId="0" fontId="1" fillId="0" borderId="5" xfId="0" applyFont="1" applyBorder="1" applyAlignment="1">
      <alignment vertical="center"/>
    </xf>
    <xf numFmtId="0" fontId="1" fillId="0" borderId="6" xfId="0" applyFont="1" applyBorder="1" applyAlignment="1">
      <alignment vertical="center"/>
    </xf>
    <xf numFmtId="164" fontId="1" fillId="0" borderId="7" xfId="0" applyNumberFormat="1" applyFont="1" applyBorder="1" applyAlignment="1">
      <alignment vertical="center"/>
    </xf>
    <xf numFmtId="0" fontId="1" fillId="0" borderId="8" xfId="0" applyFont="1" applyBorder="1" applyAlignment="1">
      <alignment vertical="center"/>
    </xf>
    <xf numFmtId="0" fontId="1" fillId="0" borderId="9" xfId="0" applyFont="1" applyBorder="1" applyAlignment="1">
      <alignment vertical="center"/>
    </xf>
    <xf numFmtId="164" fontId="1" fillId="0" borderId="10" xfId="0" applyNumberFormat="1" applyFont="1" applyBorder="1" applyAlignment="1">
      <alignment vertical="center"/>
    </xf>
    <xf numFmtId="0" fontId="1" fillId="0" borderId="11" xfId="0" applyFont="1" applyBorder="1" applyAlignment="1">
      <alignment vertical="center"/>
    </xf>
    <xf numFmtId="0" fontId="1" fillId="0" borderId="12" xfId="0" applyFont="1" applyBorder="1" applyAlignment="1">
      <alignment vertical="center"/>
    </xf>
    <xf numFmtId="0" fontId="2" fillId="0" borderId="0" xfId="0" applyFont="1"/>
    <xf numFmtId="0" fontId="1" fillId="4" borderId="1" xfId="0" applyFont="1" applyFill="1" applyBorder="1" applyAlignment="1">
      <alignment horizontal="left" vertical="center"/>
    </xf>
    <xf numFmtId="0" fontId="1" fillId="4" borderId="2" xfId="0" applyFont="1" applyFill="1" applyBorder="1" applyAlignment="1">
      <alignment horizontal="left" vertical="center"/>
    </xf>
    <xf numFmtId="0" fontId="1" fillId="4" borderId="3" xfId="0" applyFont="1" applyFill="1" applyBorder="1" applyAlignment="1">
      <alignment horizontal="left" vertical="center"/>
    </xf>
    <xf numFmtId="0" fontId="0" fillId="4" borderId="0" xfId="0" applyFill="1"/>
    <xf numFmtId="9" fontId="0" fillId="0" borderId="0" xfId="1" applyFont="1"/>
    <xf numFmtId="10" fontId="0" fillId="0" borderId="0" xfId="0" applyNumberFormat="1"/>
    <xf numFmtId="0" fontId="1" fillId="2" borderId="5" xfId="0" applyFont="1" applyFill="1" applyBorder="1" applyAlignment="1">
      <alignment vertical="center"/>
    </xf>
    <xf numFmtId="0" fontId="1" fillId="3" borderId="5" xfId="0" applyFont="1" applyFill="1" applyBorder="1" applyAlignment="1">
      <alignment vertical="center"/>
    </xf>
    <xf numFmtId="0" fontId="1" fillId="2" borderId="8" xfId="0" applyFont="1" applyFill="1" applyBorder="1" applyAlignment="1">
      <alignment vertical="center"/>
    </xf>
    <xf numFmtId="0" fontId="1" fillId="3" borderId="8" xfId="0" applyFont="1" applyFill="1" applyBorder="1" applyAlignment="1">
      <alignment vertical="center"/>
    </xf>
    <xf numFmtId="0" fontId="1" fillId="3" borderId="11" xfId="0" applyFont="1" applyFill="1" applyBorder="1" applyAlignment="1">
      <alignment vertical="center"/>
    </xf>
    <xf numFmtId="2" fontId="0" fillId="0" borderId="0" xfId="0" applyNumberFormat="1"/>
  </cellXfs>
  <cellStyles count="2">
    <cellStyle name="Normal" xfId="0" builtinId="0"/>
    <cellStyle name="Percent" xfId="1" builtinId="5"/>
  </cellStyles>
  <dxfs count="4">
    <dxf>
      <fill>
        <patternFill patternType="solid">
          <fgColor indexed="64"/>
          <bgColor theme="4" tint="0.79998168889431442"/>
        </patternFill>
      </fill>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s>
  <tableStyles count="1">
    <tableStyle name="Form Responses 1-style" pivot="0" count="3" xr9:uid="{00000000-0011-0000-FFFF-FFFF00000000}">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2.xml"/><Relationship Id="rId7" Type="http://schemas.openxmlformats.org/officeDocument/2006/relationships/sharedStrings" Target="sharedStrings.xml"/><Relationship Id="rId2" Type="http://schemas.openxmlformats.org/officeDocument/2006/relationships/worksheet" Target="worksheets/sheet1.xml"/><Relationship Id="rId1" Type="http://schemas.openxmlformats.org/officeDocument/2006/relationships/chartsheet" Target="chart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'Form Responses 1'!$A$37</c:f>
              <c:strCache>
                <c:ptCount val="1"/>
                <c:pt idx="0">
                  <c:v>Total</c:v>
                </c:pt>
              </c:strCache>
            </c:strRef>
          </c:tx>
          <c:spPr>
            <a:solidFill>
              <a:schemeClr val="accent1"/>
            </a:solidFill>
            <a:ln>
              <a:noFill/>
            </a:ln>
            <a:effectLst/>
          </c:spPr>
          <c:invertIfNegative val="0"/>
          <c:val>
            <c:numRef>
              <c:f>'Form Responses 1'!$B$37:$G$37</c:f>
              <c:numCache>
                <c:formatCode>General</c:formatCode>
                <c:ptCount val="6"/>
                <c:pt idx="0">
                  <c:v>20</c:v>
                </c:pt>
                <c:pt idx="1">
                  <c:v>600</c:v>
                </c:pt>
                <c:pt idx="2">
                  <c:v>2400</c:v>
                </c:pt>
                <c:pt idx="3">
                  <c:v>70.766666666666666</c:v>
                </c:pt>
                <c:pt idx="4">
                  <c:v>2123</c:v>
                </c:pt>
                <c:pt idx="5" formatCode="0.00%">
                  <c:v>0.88458333333333339</c:v>
                </c:pt>
              </c:numCache>
            </c:numRef>
          </c:val>
          <c:extLst>
            <c:ext xmlns:c16="http://schemas.microsoft.com/office/drawing/2014/chart" uri="{C3380CC4-5D6E-409C-BE32-E72D297353CC}">
              <c16:uniqueId val="{00000000-5D11-42B0-9CEC-6D6AFC8929CD}"/>
            </c:ext>
          </c:extLst>
        </c:ser>
        <c:dLbls>
          <c:showLegendKey val="0"/>
          <c:showVal val="0"/>
          <c:showCatName val="0"/>
          <c:showSerName val="0"/>
          <c:showPercent val="0"/>
          <c:showBubbleSize val="0"/>
        </c:dLbls>
        <c:gapWidth val="219"/>
        <c:overlap val="-27"/>
        <c:axId val="1778969471"/>
        <c:axId val="1778962271"/>
      </c:barChart>
      <c:catAx>
        <c:axId val="177896947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8962271"/>
        <c:crosses val="autoZero"/>
        <c:auto val="1"/>
        <c:lblAlgn val="ctr"/>
        <c:lblOffset val="100"/>
        <c:noMultiLvlLbl val="0"/>
      </c:catAx>
      <c:valAx>
        <c:axId val="17789622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8969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D"/>
              <a:t>Rerata Hasil Tanggapan Pengguna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'Form Responses 1'!$A$33</c:f>
              <c:strCache>
                <c:ptCount val="1"/>
                <c:pt idx="0">
                  <c:v>Kualitas Isi dan Tujuan</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'Form Responses 1'!$E$33</c:f>
              <c:numCache>
                <c:formatCode>0.00</c:formatCode>
                <c:ptCount val="1"/>
                <c:pt idx="0">
                  <c:v>20.433333333333334</c:v>
                </c:pt>
              </c:numCache>
            </c:numRef>
          </c:val>
          <c:extLst>
            <c:ext xmlns:c16="http://schemas.microsoft.com/office/drawing/2014/chart" uri="{C3380CC4-5D6E-409C-BE32-E72D297353CC}">
              <c16:uniqueId val="{00000000-54ED-4CA8-B564-3B1F7C6B55B2}"/>
            </c:ext>
          </c:extLst>
        </c:ser>
        <c:ser>
          <c:idx val="1"/>
          <c:order val="1"/>
          <c:tx>
            <c:strRef>
              <c:f>'Form Responses 1'!$A$34</c:f>
              <c:strCache>
                <c:ptCount val="1"/>
                <c:pt idx="0">
                  <c:v>Kualitas Pembelajaran</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'Form Responses 1'!$E$34</c:f>
              <c:numCache>
                <c:formatCode>0.00</c:formatCode>
                <c:ptCount val="1"/>
                <c:pt idx="0">
                  <c:v>29.833333333333332</c:v>
                </c:pt>
              </c:numCache>
            </c:numRef>
          </c:val>
          <c:extLst>
            <c:ext xmlns:c16="http://schemas.microsoft.com/office/drawing/2014/chart" uri="{C3380CC4-5D6E-409C-BE32-E72D297353CC}">
              <c16:uniqueId val="{00000001-54ED-4CA8-B564-3B1F7C6B55B2}"/>
            </c:ext>
          </c:extLst>
        </c:ser>
        <c:ser>
          <c:idx val="2"/>
          <c:order val="2"/>
          <c:tx>
            <c:strRef>
              <c:f>'Form Responses 1'!$A$35</c:f>
              <c:strCache>
                <c:ptCount val="1"/>
                <c:pt idx="0">
                  <c:v>Penggunaan</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'Form Responses 1'!$E$35</c:f>
              <c:numCache>
                <c:formatCode>0.00</c:formatCode>
                <c:ptCount val="1"/>
                <c:pt idx="0">
                  <c:v>20.5</c:v>
                </c:pt>
              </c:numCache>
            </c:numRef>
          </c:val>
          <c:extLst>
            <c:ext xmlns:c16="http://schemas.microsoft.com/office/drawing/2014/chart" uri="{C3380CC4-5D6E-409C-BE32-E72D297353CC}">
              <c16:uniqueId val="{00000002-54ED-4CA8-B564-3B1F7C6B55B2}"/>
            </c:ext>
          </c:extLst>
        </c:ser>
        <c:dLbls>
          <c:dLblPos val="outEnd"/>
          <c:showLegendKey val="0"/>
          <c:showVal val="1"/>
          <c:showCatName val="0"/>
          <c:showSerName val="0"/>
          <c:showPercent val="0"/>
          <c:showBubbleSize val="0"/>
        </c:dLbls>
        <c:gapWidth val="219"/>
        <c:overlap val="-27"/>
        <c:axId val="1452213071"/>
        <c:axId val="1452210191"/>
      </c:barChart>
      <c:catAx>
        <c:axId val="1452213071"/>
        <c:scaling>
          <c:orientation val="minMax"/>
        </c:scaling>
        <c:delete val="1"/>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D"/>
                  <a:t>Aspek Penilaian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majorTickMark val="none"/>
        <c:minorTickMark val="none"/>
        <c:tickLblPos val="nextTo"/>
        <c:crossAx val="1452210191"/>
        <c:crosses val="autoZero"/>
        <c:auto val="1"/>
        <c:lblAlgn val="ctr"/>
        <c:lblOffset val="100"/>
        <c:noMultiLvlLbl val="0"/>
      </c:catAx>
      <c:valAx>
        <c:axId val="145221019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D"/>
                  <a:t>Rerata Penilaian</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22130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D"/>
              <a:t>Persentase Hasil Tanggapan Pengguna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'Form Responses 1'!$A$33</c:f>
              <c:strCache>
                <c:ptCount val="1"/>
                <c:pt idx="0">
                  <c:v>Kualitas Isi dan Tujuan</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'Form Responses 1'!$G$33</c:f>
              <c:numCache>
                <c:formatCode>0%</c:formatCode>
                <c:ptCount val="1"/>
                <c:pt idx="0">
                  <c:v>0.85138888888888886</c:v>
                </c:pt>
              </c:numCache>
            </c:numRef>
          </c:val>
          <c:extLst>
            <c:ext xmlns:c16="http://schemas.microsoft.com/office/drawing/2014/chart" uri="{C3380CC4-5D6E-409C-BE32-E72D297353CC}">
              <c16:uniqueId val="{00000000-54ED-4CA8-B564-3B1F7C6B55B2}"/>
            </c:ext>
          </c:extLst>
        </c:ser>
        <c:ser>
          <c:idx val="1"/>
          <c:order val="1"/>
          <c:tx>
            <c:strRef>
              <c:f>'Form Responses 1'!$A$34</c:f>
              <c:strCache>
                <c:ptCount val="1"/>
                <c:pt idx="0">
                  <c:v>Kualitas Pembelajaran</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'Form Responses 1'!$G$34</c:f>
              <c:numCache>
                <c:formatCode>0%</c:formatCode>
                <c:ptCount val="1"/>
                <c:pt idx="0">
                  <c:v>0.93229166666666663</c:v>
                </c:pt>
              </c:numCache>
            </c:numRef>
          </c:val>
          <c:extLst>
            <c:ext xmlns:c16="http://schemas.microsoft.com/office/drawing/2014/chart" uri="{C3380CC4-5D6E-409C-BE32-E72D297353CC}">
              <c16:uniqueId val="{00000001-54ED-4CA8-B564-3B1F7C6B55B2}"/>
            </c:ext>
          </c:extLst>
        </c:ser>
        <c:ser>
          <c:idx val="2"/>
          <c:order val="2"/>
          <c:tx>
            <c:strRef>
              <c:f>'Form Responses 1'!$A$35</c:f>
              <c:strCache>
                <c:ptCount val="1"/>
                <c:pt idx="0">
                  <c:v>Penggunaan</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'Form Responses 1'!$G$35</c:f>
              <c:numCache>
                <c:formatCode>0%</c:formatCode>
                <c:ptCount val="1"/>
                <c:pt idx="0">
                  <c:v>0.85416666666666663</c:v>
                </c:pt>
              </c:numCache>
            </c:numRef>
          </c:val>
          <c:extLst>
            <c:ext xmlns:c16="http://schemas.microsoft.com/office/drawing/2014/chart" uri="{C3380CC4-5D6E-409C-BE32-E72D297353CC}">
              <c16:uniqueId val="{00000002-54ED-4CA8-B564-3B1F7C6B55B2}"/>
            </c:ext>
          </c:extLst>
        </c:ser>
        <c:dLbls>
          <c:dLblPos val="outEnd"/>
          <c:showLegendKey val="0"/>
          <c:showVal val="1"/>
          <c:showCatName val="0"/>
          <c:showSerName val="0"/>
          <c:showPercent val="0"/>
          <c:showBubbleSize val="0"/>
        </c:dLbls>
        <c:gapWidth val="219"/>
        <c:overlap val="-27"/>
        <c:axId val="1452213071"/>
        <c:axId val="1452210191"/>
      </c:barChart>
      <c:catAx>
        <c:axId val="1452213071"/>
        <c:scaling>
          <c:orientation val="minMax"/>
        </c:scaling>
        <c:delete val="1"/>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D"/>
                  <a:t>Aspek Penilaian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majorTickMark val="none"/>
        <c:minorTickMark val="none"/>
        <c:tickLblPos val="nextTo"/>
        <c:crossAx val="1452210191"/>
        <c:crosses val="autoZero"/>
        <c:auto val="1"/>
        <c:lblAlgn val="ctr"/>
        <c:lblOffset val="100"/>
        <c:noMultiLvlLbl val="0"/>
      </c:catAx>
      <c:valAx>
        <c:axId val="145221019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D"/>
                  <a:t>Persentase Penilaian</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22130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8777030E-F320-4B73-B529-A2CDA271578D}">
  <sheetPr/>
  <sheetViews>
    <sheetView zoomScale="70" workbookViewId="0"/>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absoluteAnchor>
    <xdr:pos x="0" y="0"/>
    <xdr:ext cx="8665882" cy="6293971"/>
    <xdr:graphicFrame macro="">
      <xdr:nvGraphicFramePr>
        <xdr:cNvPr id="2" name="Chart 1">
          <a:extLst>
            <a:ext uri="{FF2B5EF4-FFF2-40B4-BE49-F238E27FC236}">
              <a16:creationId xmlns:a16="http://schemas.microsoft.com/office/drawing/2014/main" id="{F74B4224-C09F-5A45-8A37-5F3EF8A2FECB}"/>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xml><?xml version="1.0" encoding="utf-8"?>
<xdr:wsDr xmlns:xdr="http://schemas.openxmlformats.org/drawingml/2006/spreadsheetDrawing" xmlns:a="http://schemas.openxmlformats.org/drawingml/2006/main">
  <xdr:twoCellAnchor>
    <xdr:from>
      <xdr:col>0</xdr:col>
      <xdr:colOff>0</xdr:colOff>
      <xdr:row>40</xdr:row>
      <xdr:rowOff>123825</xdr:rowOff>
    </xdr:from>
    <xdr:to>
      <xdr:col>2</xdr:col>
      <xdr:colOff>1762125</xdr:colOff>
      <xdr:row>54</xdr:row>
      <xdr:rowOff>66675</xdr:rowOff>
    </xdr:to>
    <xdr:graphicFrame macro="">
      <xdr:nvGraphicFramePr>
        <xdr:cNvPr id="3" name="Chart 2">
          <a:extLst>
            <a:ext uri="{FF2B5EF4-FFF2-40B4-BE49-F238E27FC236}">
              <a16:creationId xmlns:a16="http://schemas.microsoft.com/office/drawing/2014/main" id="{851DA2C8-0C05-4C2E-9CF6-9E0727940D5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56</xdr:row>
      <xdr:rowOff>0</xdr:rowOff>
    </xdr:from>
    <xdr:to>
      <xdr:col>2</xdr:col>
      <xdr:colOff>1762125</xdr:colOff>
      <xdr:row>69</xdr:row>
      <xdr:rowOff>142875</xdr:rowOff>
    </xdr:to>
    <xdr:graphicFrame macro="">
      <xdr:nvGraphicFramePr>
        <xdr:cNvPr id="4" name="Chart 3">
          <a:extLst>
            <a:ext uri="{FF2B5EF4-FFF2-40B4-BE49-F238E27FC236}">
              <a16:creationId xmlns:a16="http://schemas.microsoft.com/office/drawing/2014/main" id="{10D9AFB0-9F91-3DFE-43C6-0C759B928C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D:\Skripsi\Dokumen\TAS\Analisis%20Data\Hasil%20Analisis%20Penilaian.xlsx" TargetMode="External"/><Relationship Id="rId1" Type="http://schemas.openxmlformats.org/officeDocument/2006/relationships/externalLinkPath" Target="Hasil%20Analisis%20Penilaian.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hli Materi"/>
      <sheetName val="Sheet3"/>
      <sheetName val="Ahli Media"/>
    </sheetNames>
    <sheetDataSet>
      <sheetData sheetId="0">
        <row r="15">
          <cell r="J15">
            <v>43.5</v>
          </cell>
        </row>
        <row r="21">
          <cell r="K21">
            <v>30</v>
          </cell>
        </row>
        <row r="26">
          <cell r="K26">
            <v>19</v>
          </cell>
        </row>
      </sheetData>
      <sheetData sheetId="1"/>
      <sheetData sheetId="2"/>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orm_Responses" displayName="Form_Responses" ref="A1:AA32" headerRowDxfId="0">
  <tableColumns count="27">
    <tableColumn id="1" xr3:uid="{00000000-0010-0000-0000-000001000000}" name="Timestamp"/>
    <tableColumn id="2" xr3:uid="{00000000-0010-0000-0000-000002000000}" name="Email"/>
    <tableColumn id="3" xr3:uid="{00000000-0010-0000-0000-000003000000}" name="Nama Lengkap"/>
    <tableColumn id="4" xr3:uid="{00000000-0010-0000-0000-000004000000}" name="NIM"/>
    <tableColumn id="5" xr3:uid="{00000000-0010-0000-0000-000005000000}" name="Angkatan"/>
    <tableColumn id="6" xr3:uid="{00000000-0010-0000-0000-000006000000}" name="Kelas"/>
    <tableColumn id="7" xr3:uid="{00000000-0010-0000-0000-000007000000}" name="1. Simulator sebagai media pembelajaran Kinematika dan Navigasi Swerve Drive Autonomous Mobile Robot membantu pemahaman prinsip kerja dan model kinematika sistem robot berbasis Swerve Drive. "/>
    <tableColumn id="8" xr3:uid="{00000000-0010-0000-0000-000008000000}" name="2. Penggunaan simulator sebagai media pembelajaran menambah pengetahuan peserta didik tentang cara kerja algoritma Pure Pursuit dalam mengikuti sebuah lintasan."/>
    <tableColumn id="9" xr3:uid="{00000000-0010-0000-0000-000009000000}" name="3. Visualisasi 3D robot di Unity secara jelas menunjukkan bagaimana setiap modul roda berotasi dan berputar untuk menghasilkan gerakan robot."/>
    <tableColumn id="10" xr3:uid="{00000000-0010-0000-0000-00000A000000}" name="4. Materi pembelajaran pada modul dan labsheet disajikan secara jelas dan mudah dipahami."/>
    <tableColumn id="11" xr3:uid="{00000000-0010-0000-0000-00000B000000}" name="5. Mengamati hubungan visual antara posisi robot, titik target, dan garis lookahead pada dashboard memberikan wawasan baru tentang cara kerja Pure Pursuit."/>
    <tableColumn id="12" xr3:uid="{00000000-0010-0000-0000-00000C000000}" name="6. Media pembelajaran berbasis simulator ini memberikan pemahaman praktis tentang tantangan navigasi robot otonom yang tidak didapatkan hanya dari membaca teori."/>
    <tableColumn id="13" xr3:uid="{00000000-0010-0000-0000-00000D000000}" name="7. Dashboard Python memiliki tampilan yang terorganisir dan mudah untuk dimengerti didukung dengan materi petunjuk pada labsheet dan modul Simulator Kinematika dan Navigasi Swerve Drive yang lebih memperjelas penggunaan."/>
    <tableColumn id="14" xr3:uid="{00000000-0010-0000-0000-00000E000000}" name="8. Pengoperasian software Unity untuk simulasi dijelaskan secara detil melalui labsheet dan modul Simulator Kinematika dan Navigasi Swerve Drive."/>
    <tableColumn id="15" xr3:uid="{00000000-0010-0000-0000-00000F000000}" name="9. Sifat interaktif dari simulator (melihat perubahan secara langsung) mendorong peserta didik untuk lebih aktif mencoba dan bereksperimen."/>
    <tableColumn id="16" xr3:uid="{00000000-0010-0000-0000-000010000000}" name="10.  Penggunaan media pembelajaran berbasis simulator membuat peserta didik lebih percaya diri untuk mencoba berbagai skenario dan menguji pengaruh parameter pengendalian karena tidak ada risiko merusak perangkat keras.  "/>
    <tableColumn id="17" xr3:uid="{00000000-0010-0000-0000-000011000000}" name="11. Penyajian informasi melalui tiga cara (visual 3D, plot 2D, dan teks data) membantu peserta didik memahami konsep dari berbagai sudut pandang."/>
    <tableColumn id="18" xr3:uid="{00000000-0010-0000-0000-000012000000}" name="12. Tampilan visual dan interaktif pada simulator, seperti fitur zoom dan navigasi grafik, membantu peserta didik memahami materi secara lebih bervariasi dan menarik."/>
    <tableColumn id="19" xr3:uid="{00000000-0010-0000-0000-000013000000}" name="13. Penggunaan simulator ini secara signifikan meningkatkan pemahaman peserta didik tentang implementasi kinematika Swerve Drive."/>
    <tableColumn id="20" xr3:uid="{00000000-0010-0000-0000-000014000000}" name="14. Saya merasa lebih percaya diri untuk menjelaskan atau menerapkan algoritma pelacakan jalur setelah menggunakan media pembelajaran Simulator Kinematika dan Navigasi Swerve Drive."/>
    <tableColumn id="21" xr3:uid="{00000000-0010-0000-0000-000015000000}" name="15. Prosedur untuk menjalankan dan menghubungkan simulator Unity dengan dashboard Python mudah untuk diikuti melalui petunjuk penggunaan pada Simulator Kinematika dan Navigasi Swerve Drive."/>
    <tableColumn id="22" xr3:uid="{00000000-0010-0000-0000-000016000000}" name="16.  Petunjuk instalasi dan pengoperasian simulator yang dijelaskan di dalam modul Simulator Kinematika dan Navigasi Swerve Drive cukup jelas untuk diikuti."/>
    <tableColumn id="23" xr3:uid="{00000000-0010-0000-0000-000017000000}" name="17. Menggunakan simulator sesuai panduan labsheet mempercepat proses pemahaman peserta didik karena dapat mengamati secara langsung perubahan dan respon sistem terhadap parameter yang diberikan."/>
    <tableColumn id="24" xr3:uid="{00000000-0010-0000-0000-000018000000}" name="18.  Simulator ini mengurangi usaha dan waktu yang saya habiskan untuk mencari kesalahan (debugging), sehingga peserta didik bisa lebih fokus pada pemahaman konsep inti yang diajarkan di modul."/>
    <tableColumn id="25" xr3:uid="{00000000-0010-0000-0000-000019000000}" name="19. Penggunaan simulator sebagai media pembelajaran lebih interaktif dan menarik karena memberikan pengalaman yang mirip dengan kondisi robot sebenarnya."/>
    <tableColumn id="26" xr3:uid="{00000000-0010-0000-0000-00001A000000}" name="20.  Media pembelajaran berbasis simulator dapat menunjukkan aplikasi nyata dari teori yang rumit, sehingga memotivasi peserta didik karena dapat melihat relevansi dan kegunaan dari apa yang telah dipelajari pada teori."/>
    <tableColumn id="27" xr3:uid="{00000000-0010-0000-0000-00001B000000}" name="Kritik dan Saran"/>
  </tableColumns>
  <tableStyleInfo name="Form Responses 1-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A39"/>
  <sheetViews>
    <sheetView tabSelected="1" workbookViewId="0">
      <pane ySplit="1" topLeftCell="A38" activePane="bottomLeft" state="frozen"/>
      <selection pane="bottomLeft" activeCell="D67" sqref="D67"/>
    </sheetView>
  </sheetViews>
  <sheetFormatPr defaultColWidth="12.5703125" defaultRowHeight="15.75" customHeight="1" x14ac:dyDescent="0.2"/>
  <cols>
    <col min="1" max="1" width="23.28515625" customWidth="1"/>
    <col min="2" max="2" width="18.85546875" customWidth="1"/>
    <col min="3" max="3" width="30.5703125" customWidth="1"/>
    <col min="4" max="6" width="18.85546875" customWidth="1"/>
    <col min="7" max="26" width="37.5703125" customWidth="1"/>
    <col min="27" max="33" width="18.85546875" customWidth="1"/>
  </cols>
  <sheetData>
    <row r="1" spans="1:27" s="14" customFormat="1" x14ac:dyDescent="0.2">
      <c r="A1" s="11" t="s">
        <v>0</v>
      </c>
      <c r="B1" s="12" t="s">
        <v>1</v>
      </c>
      <c r="C1" s="12" t="s">
        <v>2</v>
      </c>
      <c r="D1" s="12" t="s">
        <v>3</v>
      </c>
      <c r="E1" s="12" t="s">
        <v>4</v>
      </c>
      <c r="F1" s="12" t="s">
        <v>5</v>
      </c>
      <c r="G1" s="12" t="s">
        <v>6</v>
      </c>
      <c r="H1" s="12" t="s">
        <v>7</v>
      </c>
      <c r="I1" s="12" t="s">
        <v>8</v>
      </c>
      <c r="J1" s="12" t="s">
        <v>9</v>
      </c>
      <c r="K1" s="12" t="s">
        <v>10</v>
      </c>
      <c r="L1" s="12" t="s">
        <v>11</v>
      </c>
      <c r="M1" s="12" t="s">
        <v>12</v>
      </c>
      <c r="N1" s="12" t="s">
        <v>13</v>
      </c>
      <c r="O1" s="12" t="s">
        <v>14</v>
      </c>
      <c r="P1" s="12" t="s">
        <v>15</v>
      </c>
      <c r="Q1" s="12" t="s">
        <v>16</v>
      </c>
      <c r="R1" s="12" t="s">
        <v>17</v>
      </c>
      <c r="S1" s="12" t="s">
        <v>18</v>
      </c>
      <c r="T1" s="12" t="s">
        <v>19</v>
      </c>
      <c r="U1" s="12" t="s">
        <v>20</v>
      </c>
      <c r="V1" s="12" t="s">
        <v>21</v>
      </c>
      <c r="W1" s="12" t="s">
        <v>22</v>
      </c>
      <c r="X1" s="12" t="s">
        <v>23</v>
      </c>
      <c r="Y1" s="12" t="s">
        <v>24</v>
      </c>
      <c r="Z1" s="12" t="s">
        <v>25</v>
      </c>
      <c r="AA1" s="13" t="s">
        <v>26</v>
      </c>
    </row>
    <row r="2" spans="1:27" ht="12.75" x14ac:dyDescent="0.2">
      <c r="A2" s="1">
        <v>45874.720782280092</v>
      </c>
      <c r="B2" s="2" t="s">
        <v>27</v>
      </c>
      <c r="C2" s="2" t="s">
        <v>28</v>
      </c>
      <c r="D2" s="2">
        <v>21518241006</v>
      </c>
      <c r="E2" s="2">
        <v>2021</v>
      </c>
      <c r="F2" s="2" t="s">
        <v>29</v>
      </c>
      <c r="G2" s="2">
        <v>4</v>
      </c>
      <c r="H2" s="2">
        <v>4</v>
      </c>
      <c r="I2" s="2">
        <v>4</v>
      </c>
      <c r="J2" s="2">
        <v>4</v>
      </c>
      <c r="K2" s="2">
        <v>4</v>
      </c>
      <c r="L2" s="2">
        <v>4</v>
      </c>
      <c r="M2" s="2">
        <v>4</v>
      </c>
      <c r="N2" s="2">
        <v>4</v>
      </c>
      <c r="O2" s="2">
        <v>4</v>
      </c>
      <c r="P2" s="2">
        <v>4</v>
      </c>
      <c r="Q2" s="2">
        <v>4</v>
      </c>
      <c r="R2" s="2">
        <v>4</v>
      </c>
      <c r="S2" s="2">
        <v>4</v>
      </c>
      <c r="T2" s="2">
        <v>4</v>
      </c>
      <c r="U2" s="2">
        <v>4</v>
      </c>
      <c r="V2" s="2">
        <v>4</v>
      </c>
      <c r="W2" s="2">
        <v>4</v>
      </c>
      <c r="X2" s="2">
        <v>4</v>
      </c>
      <c r="Y2" s="2">
        <v>4</v>
      </c>
      <c r="Z2" s="2">
        <v>4</v>
      </c>
      <c r="AA2" s="3" t="s">
        <v>30</v>
      </c>
    </row>
    <row r="3" spans="1:27" ht="12.75" x14ac:dyDescent="0.2">
      <c r="A3" s="1">
        <v>45874.726194953706</v>
      </c>
      <c r="B3" s="2" t="s">
        <v>34</v>
      </c>
      <c r="C3" s="2" t="s">
        <v>35</v>
      </c>
      <c r="D3" s="2">
        <v>21518241003</v>
      </c>
      <c r="E3" s="2">
        <v>2021</v>
      </c>
      <c r="F3" s="2" t="s">
        <v>29</v>
      </c>
      <c r="G3" s="2">
        <v>4</v>
      </c>
      <c r="H3" s="2">
        <v>4</v>
      </c>
      <c r="I3" s="2">
        <v>4</v>
      </c>
      <c r="J3" s="2">
        <v>4</v>
      </c>
      <c r="K3" s="2">
        <v>4</v>
      </c>
      <c r="L3" s="2">
        <v>4</v>
      </c>
      <c r="M3" s="2">
        <v>4</v>
      </c>
      <c r="N3" s="2">
        <v>4</v>
      </c>
      <c r="O3" s="2">
        <v>4</v>
      </c>
      <c r="P3" s="2">
        <v>4</v>
      </c>
      <c r="Q3" s="2">
        <v>4</v>
      </c>
      <c r="R3" s="2">
        <v>4</v>
      </c>
      <c r="S3" s="2">
        <v>4</v>
      </c>
      <c r="T3" s="2">
        <v>4</v>
      </c>
      <c r="U3" s="2">
        <v>4</v>
      </c>
      <c r="V3" s="2">
        <v>4</v>
      </c>
      <c r="W3" s="2">
        <v>4</v>
      </c>
      <c r="X3" s="2">
        <v>4</v>
      </c>
      <c r="Y3" s="2">
        <v>4</v>
      </c>
      <c r="Z3" s="2">
        <v>4</v>
      </c>
      <c r="AA3" s="3" t="s">
        <v>30</v>
      </c>
    </row>
    <row r="4" spans="1:27" ht="12.75" x14ac:dyDescent="0.2">
      <c r="A4" s="4">
        <v>45874.734737476851</v>
      </c>
      <c r="B4" s="5" t="s">
        <v>36</v>
      </c>
      <c r="C4" s="5" t="s">
        <v>37</v>
      </c>
      <c r="D4" s="5">
        <v>22518241011</v>
      </c>
      <c r="E4" s="5">
        <v>2022</v>
      </c>
      <c r="F4" s="5" t="s">
        <v>29</v>
      </c>
      <c r="G4" s="5">
        <v>4</v>
      </c>
      <c r="H4" s="5">
        <v>4</v>
      </c>
      <c r="I4" s="5">
        <v>4</v>
      </c>
      <c r="J4" s="5">
        <v>4</v>
      </c>
      <c r="K4" s="5">
        <v>4</v>
      </c>
      <c r="L4" s="5">
        <v>4</v>
      </c>
      <c r="M4" s="5">
        <v>4</v>
      </c>
      <c r="N4" s="5">
        <v>4</v>
      </c>
      <c r="O4" s="5">
        <v>4</v>
      </c>
      <c r="P4" s="5">
        <v>4</v>
      </c>
      <c r="Q4" s="5">
        <v>4</v>
      </c>
      <c r="R4" s="5">
        <v>4</v>
      </c>
      <c r="S4" s="5">
        <v>4</v>
      </c>
      <c r="T4" s="5">
        <v>3</v>
      </c>
      <c r="U4" s="5">
        <v>4</v>
      </c>
      <c r="V4" s="5">
        <v>4</v>
      </c>
      <c r="W4" s="5">
        <v>4</v>
      </c>
      <c r="X4" s="5">
        <v>4</v>
      </c>
      <c r="Y4" s="5">
        <v>4</v>
      </c>
      <c r="Z4" s="5">
        <v>4</v>
      </c>
      <c r="AA4" s="6" t="s">
        <v>38</v>
      </c>
    </row>
    <row r="5" spans="1:27" ht="12.75" x14ac:dyDescent="0.2">
      <c r="A5" s="4">
        <v>45874.721040138887</v>
      </c>
      <c r="B5" s="5" t="s">
        <v>31</v>
      </c>
      <c r="C5" s="5" t="s">
        <v>32</v>
      </c>
      <c r="D5" s="5">
        <v>21518241011</v>
      </c>
      <c r="E5" s="5">
        <v>2021</v>
      </c>
      <c r="F5" s="5" t="s">
        <v>29</v>
      </c>
      <c r="G5" s="5">
        <v>4</v>
      </c>
      <c r="H5" s="5">
        <v>4</v>
      </c>
      <c r="I5" s="5">
        <v>4</v>
      </c>
      <c r="J5" s="5">
        <v>4</v>
      </c>
      <c r="K5" s="5">
        <v>4</v>
      </c>
      <c r="L5" s="5">
        <v>4</v>
      </c>
      <c r="M5" s="5">
        <v>4</v>
      </c>
      <c r="N5" s="5">
        <v>4</v>
      </c>
      <c r="O5" s="5">
        <v>3</v>
      </c>
      <c r="P5" s="5">
        <v>4</v>
      </c>
      <c r="Q5" s="5">
        <v>4</v>
      </c>
      <c r="R5" s="5">
        <v>4</v>
      </c>
      <c r="S5" s="5">
        <v>3</v>
      </c>
      <c r="T5" s="5">
        <v>3</v>
      </c>
      <c r="U5" s="5">
        <v>3</v>
      </c>
      <c r="V5" s="5">
        <v>3</v>
      </c>
      <c r="W5" s="5">
        <v>3</v>
      </c>
      <c r="X5" s="5">
        <v>3</v>
      </c>
      <c r="Y5" s="5">
        <v>4</v>
      </c>
      <c r="Z5" s="5">
        <v>3</v>
      </c>
      <c r="AA5" s="6" t="s">
        <v>33</v>
      </c>
    </row>
    <row r="6" spans="1:27" ht="12.75" x14ac:dyDescent="0.2">
      <c r="A6" s="1">
        <v>45874.759413854168</v>
      </c>
      <c r="B6" s="2" t="s">
        <v>39</v>
      </c>
      <c r="C6" s="2" t="s">
        <v>40</v>
      </c>
      <c r="D6" s="2">
        <v>21518241004</v>
      </c>
      <c r="E6" s="2">
        <v>2021</v>
      </c>
      <c r="F6" s="2" t="s">
        <v>29</v>
      </c>
      <c r="G6" s="2">
        <v>4</v>
      </c>
      <c r="H6" s="2">
        <v>4</v>
      </c>
      <c r="I6" s="2">
        <v>4</v>
      </c>
      <c r="J6" s="2">
        <v>4</v>
      </c>
      <c r="K6" s="2">
        <v>4</v>
      </c>
      <c r="L6" s="2">
        <v>4</v>
      </c>
      <c r="M6" s="2">
        <v>4</v>
      </c>
      <c r="N6" s="2">
        <v>3</v>
      </c>
      <c r="O6" s="2">
        <v>4</v>
      </c>
      <c r="P6" s="2">
        <v>4</v>
      </c>
      <c r="Q6" s="2">
        <v>3</v>
      </c>
      <c r="R6" s="2">
        <v>4</v>
      </c>
      <c r="S6" s="2">
        <v>4</v>
      </c>
      <c r="T6" s="2">
        <v>3</v>
      </c>
      <c r="U6" s="2">
        <v>4</v>
      </c>
      <c r="V6" s="2">
        <v>4</v>
      </c>
      <c r="W6" s="2">
        <v>4</v>
      </c>
      <c r="X6" s="2">
        <v>4</v>
      </c>
      <c r="Y6" s="2">
        <v>4</v>
      </c>
      <c r="Z6" s="2">
        <v>4</v>
      </c>
      <c r="AA6" s="3" t="s">
        <v>41</v>
      </c>
    </row>
    <row r="7" spans="1:27" ht="12.75" x14ac:dyDescent="0.2">
      <c r="A7" s="4">
        <v>45874.81955255787</v>
      </c>
      <c r="B7" s="5" t="s">
        <v>42</v>
      </c>
      <c r="C7" s="5" t="s">
        <v>43</v>
      </c>
      <c r="D7" s="5">
        <v>21518241049</v>
      </c>
      <c r="E7" s="5">
        <v>2021</v>
      </c>
      <c r="F7" s="5" t="s">
        <v>44</v>
      </c>
      <c r="G7" s="5">
        <v>4</v>
      </c>
      <c r="H7" s="5">
        <v>4</v>
      </c>
      <c r="I7" s="5">
        <v>4</v>
      </c>
      <c r="J7" s="5">
        <v>4</v>
      </c>
      <c r="K7" s="5">
        <v>4</v>
      </c>
      <c r="L7" s="5">
        <v>4</v>
      </c>
      <c r="M7" s="5">
        <v>3</v>
      </c>
      <c r="N7" s="5">
        <v>4</v>
      </c>
      <c r="O7" s="5">
        <v>4</v>
      </c>
      <c r="P7" s="5">
        <v>3</v>
      </c>
      <c r="Q7" s="5">
        <v>4</v>
      </c>
      <c r="R7" s="5">
        <v>4</v>
      </c>
      <c r="S7" s="5">
        <v>3</v>
      </c>
      <c r="T7" s="5">
        <v>3</v>
      </c>
      <c r="U7" s="5">
        <v>4</v>
      </c>
      <c r="V7" s="5">
        <v>4</v>
      </c>
      <c r="W7" s="5">
        <v>3</v>
      </c>
      <c r="X7" s="5">
        <v>4</v>
      </c>
      <c r="Y7" s="5">
        <v>4</v>
      </c>
      <c r="Z7" s="5">
        <v>4</v>
      </c>
      <c r="AA7" s="6" t="s">
        <v>45</v>
      </c>
    </row>
    <row r="8" spans="1:27" ht="12.75" x14ac:dyDescent="0.2">
      <c r="A8" s="1">
        <v>45874.821931238424</v>
      </c>
      <c r="B8" s="2" t="s">
        <v>46</v>
      </c>
      <c r="C8" s="2" t="s">
        <v>47</v>
      </c>
      <c r="D8" s="2">
        <v>21518241020</v>
      </c>
      <c r="E8" s="2">
        <v>2021</v>
      </c>
      <c r="F8" s="2" t="s">
        <v>29</v>
      </c>
      <c r="G8" s="2">
        <v>4</v>
      </c>
      <c r="H8" s="2">
        <v>4</v>
      </c>
      <c r="I8" s="2">
        <v>4</v>
      </c>
      <c r="J8" s="2">
        <v>4</v>
      </c>
      <c r="K8" s="2">
        <v>4</v>
      </c>
      <c r="L8" s="2">
        <v>4</v>
      </c>
      <c r="M8" s="2">
        <v>4</v>
      </c>
      <c r="N8" s="2">
        <v>3</v>
      </c>
      <c r="O8" s="2">
        <v>4</v>
      </c>
      <c r="P8" s="2">
        <v>3</v>
      </c>
      <c r="Q8" s="2">
        <v>4</v>
      </c>
      <c r="R8" s="2">
        <v>4</v>
      </c>
      <c r="S8" s="2">
        <v>4</v>
      </c>
      <c r="T8" s="2">
        <v>4</v>
      </c>
      <c r="U8" s="2">
        <v>4</v>
      </c>
      <c r="V8" s="2">
        <v>4</v>
      </c>
      <c r="W8" s="2">
        <v>4</v>
      </c>
      <c r="X8" s="2">
        <v>4</v>
      </c>
      <c r="Y8" s="2">
        <v>4</v>
      </c>
      <c r="Z8" s="2">
        <v>4</v>
      </c>
      <c r="AA8" s="3" t="s">
        <v>48</v>
      </c>
    </row>
    <row r="9" spans="1:27" ht="12.75" x14ac:dyDescent="0.2">
      <c r="A9" s="4">
        <v>45874.860564664355</v>
      </c>
      <c r="B9" s="5" t="s">
        <v>49</v>
      </c>
      <c r="C9" s="5" t="s">
        <v>50</v>
      </c>
      <c r="D9" s="5">
        <v>21518241018</v>
      </c>
      <c r="E9" s="5">
        <v>2021</v>
      </c>
      <c r="F9" s="5" t="s">
        <v>29</v>
      </c>
      <c r="G9" s="5">
        <v>4</v>
      </c>
      <c r="H9" s="5">
        <v>4</v>
      </c>
      <c r="I9" s="5">
        <v>4</v>
      </c>
      <c r="J9" s="5">
        <v>3</v>
      </c>
      <c r="K9" s="5">
        <v>4</v>
      </c>
      <c r="L9" s="5">
        <v>4</v>
      </c>
      <c r="M9" s="5">
        <v>4</v>
      </c>
      <c r="N9" s="5">
        <v>3</v>
      </c>
      <c r="O9" s="5">
        <v>4</v>
      </c>
      <c r="P9" s="5">
        <v>3</v>
      </c>
      <c r="Q9" s="5">
        <v>4</v>
      </c>
      <c r="R9" s="5">
        <v>3</v>
      </c>
      <c r="S9" s="5">
        <v>4</v>
      </c>
      <c r="T9" s="5">
        <v>3</v>
      </c>
      <c r="U9" s="5">
        <v>4</v>
      </c>
      <c r="V9" s="5">
        <v>4</v>
      </c>
      <c r="W9" s="5">
        <v>4</v>
      </c>
      <c r="X9" s="5">
        <v>4</v>
      </c>
      <c r="Y9" s="5">
        <v>3</v>
      </c>
      <c r="Z9" s="5">
        <v>4</v>
      </c>
      <c r="AA9" s="6" t="s">
        <v>51</v>
      </c>
    </row>
    <row r="10" spans="1:27" ht="12.75" x14ac:dyDescent="0.2">
      <c r="A10" s="1">
        <v>45874.860817916662</v>
      </c>
      <c r="B10" s="2" t="s">
        <v>52</v>
      </c>
      <c r="C10" s="2" t="s">
        <v>53</v>
      </c>
      <c r="D10" s="2">
        <v>21518244011</v>
      </c>
      <c r="E10" s="2">
        <v>2021</v>
      </c>
      <c r="F10" s="2" t="s">
        <v>44</v>
      </c>
      <c r="G10" s="2">
        <v>4</v>
      </c>
      <c r="H10" s="2">
        <v>4</v>
      </c>
      <c r="I10" s="2">
        <v>4</v>
      </c>
      <c r="J10" s="2">
        <v>4</v>
      </c>
      <c r="K10" s="2">
        <v>4</v>
      </c>
      <c r="L10" s="2">
        <v>4</v>
      </c>
      <c r="M10" s="2">
        <v>3</v>
      </c>
      <c r="N10" s="2">
        <v>4</v>
      </c>
      <c r="O10" s="2">
        <v>3</v>
      </c>
      <c r="P10" s="2">
        <v>4</v>
      </c>
      <c r="Q10" s="2">
        <v>4</v>
      </c>
      <c r="R10" s="2">
        <v>4</v>
      </c>
      <c r="S10" s="2">
        <v>3</v>
      </c>
      <c r="T10" s="2">
        <v>3</v>
      </c>
      <c r="U10" s="2">
        <v>4</v>
      </c>
      <c r="V10" s="2">
        <v>4</v>
      </c>
      <c r="W10" s="2">
        <v>4</v>
      </c>
      <c r="X10" s="2">
        <v>4</v>
      </c>
      <c r="Y10" s="2">
        <v>4</v>
      </c>
      <c r="Z10" s="2">
        <v>4</v>
      </c>
      <c r="AA10" s="3" t="s">
        <v>30</v>
      </c>
    </row>
    <row r="11" spans="1:27" ht="12.75" x14ac:dyDescent="0.2">
      <c r="A11" s="4">
        <v>45874.867586388893</v>
      </c>
      <c r="B11" s="5" t="s">
        <v>54</v>
      </c>
      <c r="C11" s="5" t="s">
        <v>55</v>
      </c>
      <c r="D11" s="5">
        <v>21518241008</v>
      </c>
      <c r="E11" s="5">
        <v>2021</v>
      </c>
      <c r="F11" s="5" t="s">
        <v>29</v>
      </c>
      <c r="G11" s="5">
        <v>4</v>
      </c>
      <c r="H11" s="5">
        <v>4</v>
      </c>
      <c r="I11" s="5">
        <v>4</v>
      </c>
      <c r="J11" s="5">
        <v>4</v>
      </c>
      <c r="K11" s="5">
        <v>4</v>
      </c>
      <c r="L11" s="5">
        <v>4</v>
      </c>
      <c r="M11" s="5">
        <v>4</v>
      </c>
      <c r="N11" s="5">
        <v>4</v>
      </c>
      <c r="O11" s="5">
        <v>4</v>
      </c>
      <c r="P11" s="5">
        <v>4</v>
      </c>
      <c r="Q11" s="5">
        <v>4</v>
      </c>
      <c r="R11" s="5">
        <v>4</v>
      </c>
      <c r="S11" s="5">
        <v>4</v>
      </c>
      <c r="T11" s="5">
        <v>4</v>
      </c>
      <c r="U11" s="5">
        <v>4</v>
      </c>
      <c r="V11" s="5">
        <v>4</v>
      </c>
      <c r="W11" s="5">
        <v>4</v>
      </c>
      <c r="X11" s="5">
        <v>4</v>
      </c>
      <c r="Y11" s="5">
        <v>4</v>
      </c>
      <c r="Z11" s="5">
        <v>4</v>
      </c>
      <c r="AA11" s="6" t="s">
        <v>30</v>
      </c>
    </row>
    <row r="12" spans="1:27" ht="12.75" x14ac:dyDescent="0.2">
      <c r="A12" s="1">
        <v>45874.869543449073</v>
      </c>
      <c r="B12" s="2" t="s">
        <v>56</v>
      </c>
      <c r="C12" s="2" t="s">
        <v>57</v>
      </c>
      <c r="D12" s="2">
        <v>22518241018</v>
      </c>
      <c r="E12" s="2">
        <v>2022</v>
      </c>
      <c r="F12" s="2" t="s">
        <v>29</v>
      </c>
      <c r="G12" s="2">
        <v>4</v>
      </c>
      <c r="H12" s="2">
        <v>4</v>
      </c>
      <c r="I12" s="2">
        <v>4</v>
      </c>
      <c r="J12" s="2">
        <v>4</v>
      </c>
      <c r="K12" s="2">
        <v>4</v>
      </c>
      <c r="L12" s="2">
        <v>4</v>
      </c>
      <c r="M12" s="2">
        <v>3</v>
      </c>
      <c r="N12" s="2">
        <v>4</v>
      </c>
      <c r="O12" s="2">
        <v>4</v>
      </c>
      <c r="P12" s="2">
        <v>4</v>
      </c>
      <c r="Q12" s="2">
        <v>4</v>
      </c>
      <c r="R12" s="2">
        <v>4</v>
      </c>
      <c r="S12" s="2">
        <v>4</v>
      </c>
      <c r="T12" s="2">
        <v>4</v>
      </c>
      <c r="U12" s="2">
        <v>4</v>
      </c>
      <c r="V12" s="2">
        <v>4</v>
      </c>
      <c r="W12" s="2">
        <v>4</v>
      </c>
      <c r="X12" s="2">
        <v>4</v>
      </c>
      <c r="Y12" s="2">
        <v>4</v>
      </c>
      <c r="Z12" s="2">
        <v>4</v>
      </c>
      <c r="AA12" s="3" t="s">
        <v>30</v>
      </c>
    </row>
    <row r="13" spans="1:27" ht="12.75" x14ac:dyDescent="0.2">
      <c r="A13" s="4">
        <v>45874.875919004626</v>
      </c>
      <c r="B13" s="5" t="s">
        <v>58</v>
      </c>
      <c r="C13" s="5" t="s">
        <v>59</v>
      </c>
      <c r="D13" s="5">
        <v>21518241023</v>
      </c>
      <c r="E13" s="5">
        <v>2021</v>
      </c>
      <c r="F13" s="5" t="s">
        <v>29</v>
      </c>
      <c r="G13" s="5">
        <v>4</v>
      </c>
      <c r="H13" s="5">
        <v>4</v>
      </c>
      <c r="I13" s="5">
        <v>4</v>
      </c>
      <c r="J13" s="5">
        <v>4</v>
      </c>
      <c r="K13" s="5">
        <v>4</v>
      </c>
      <c r="L13" s="5">
        <v>4</v>
      </c>
      <c r="M13" s="5">
        <v>4</v>
      </c>
      <c r="N13" s="5">
        <v>3</v>
      </c>
      <c r="O13" s="5">
        <v>4</v>
      </c>
      <c r="P13" s="5">
        <v>4</v>
      </c>
      <c r="Q13" s="5">
        <v>4</v>
      </c>
      <c r="R13" s="5">
        <v>4</v>
      </c>
      <c r="S13" s="5">
        <v>3</v>
      </c>
      <c r="T13" s="5">
        <v>4</v>
      </c>
      <c r="U13" s="5">
        <v>4</v>
      </c>
      <c r="V13" s="5">
        <v>4</v>
      </c>
      <c r="W13" s="5">
        <v>4</v>
      </c>
      <c r="X13" s="5">
        <v>4</v>
      </c>
      <c r="Y13" s="5">
        <v>4</v>
      </c>
      <c r="Z13" s="5">
        <v>4</v>
      </c>
      <c r="AA13" s="6" t="s">
        <v>60</v>
      </c>
    </row>
    <row r="14" spans="1:27" ht="12.75" x14ac:dyDescent="0.2">
      <c r="A14" s="1">
        <v>45874.902059479165</v>
      </c>
      <c r="B14" s="2" t="s">
        <v>61</v>
      </c>
      <c r="C14" s="2" t="s">
        <v>62</v>
      </c>
      <c r="D14" s="2">
        <v>21518241014</v>
      </c>
      <c r="E14" s="2">
        <v>2021</v>
      </c>
      <c r="F14" s="2" t="s">
        <v>29</v>
      </c>
      <c r="G14" s="2">
        <v>4</v>
      </c>
      <c r="H14" s="2">
        <v>4</v>
      </c>
      <c r="I14" s="2">
        <v>4</v>
      </c>
      <c r="J14" s="2">
        <v>4</v>
      </c>
      <c r="K14" s="2">
        <v>4</v>
      </c>
      <c r="L14" s="2">
        <v>4</v>
      </c>
      <c r="M14" s="2">
        <v>3</v>
      </c>
      <c r="N14" s="2">
        <v>4</v>
      </c>
      <c r="O14" s="2">
        <v>3</v>
      </c>
      <c r="P14" s="2">
        <v>3</v>
      </c>
      <c r="Q14" s="2">
        <v>4</v>
      </c>
      <c r="R14" s="2">
        <v>4</v>
      </c>
      <c r="S14" s="2">
        <v>3</v>
      </c>
      <c r="T14" s="2">
        <v>4</v>
      </c>
      <c r="U14" s="2">
        <v>4</v>
      </c>
      <c r="V14" s="2">
        <v>4</v>
      </c>
      <c r="W14" s="2">
        <v>4</v>
      </c>
      <c r="X14" s="2">
        <v>4</v>
      </c>
      <c r="Y14" s="2">
        <v>4</v>
      </c>
      <c r="Z14" s="2">
        <v>4</v>
      </c>
      <c r="AA14" s="3" t="s">
        <v>63</v>
      </c>
    </row>
    <row r="15" spans="1:27" ht="12.75" x14ac:dyDescent="0.2">
      <c r="A15" s="4">
        <v>45874.938075659724</v>
      </c>
      <c r="B15" s="5" t="s">
        <v>64</v>
      </c>
      <c r="C15" s="5" t="s">
        <v>65</v>
      </c>
      <c r="D15" s="5">
        <v>21518244032</v>
      </c>
      <c r="E15" s="5">
        <v>2021</v>
      </c>
      <c r="F15" s="5" t="s">
        <v>66</v>
      </c>
      <c r="G15" s="5">
        <v>4</v>
      </c>
      <c r="H15" s="5">
        <v>4</v>
      </c>
      <c r="I15" s="5">
        <v>4</v>
      </c>
      <c r="J15" s="5">
        <v>4</v>
      </c>
      <c r="K15" s="5">
        <v>4</v>
      </c>
      <c r="L15" s="5">
        <v>4</v>
      </c>
      <c r="M15" s="5">
        <v>4</v>
      </c>
      <c r="N15" s="5">
        <v>4</v>
      </c>
      <c r="O15" s="5">
        <v>3</v>
      </c>
      <c r="P15" s="5">
        <v>4</v>
      </c>
      <c r="Q15" s="5">
        <v>3</v>
      </c>
      <c r="R15" s="5">
        <v>4</v>
      </c>
      <c r="S15" s="5">
        <v>4</v>
      </c>
      <c r="T15" s="5">
        <v>3</v>
      </c>
      <c r="U15" s="5">
        <v>4</v>
      </c>
      <c r="V15" s="5">
        <v>4</v>
      </c>
      <c r="W15" s="5">
        <v>4</v>
      </c>
      <c r="X15" s="5">
        <v>4</v>
      </c>
      <c r="Y15" s="5">
        <v>4</v>
      </c>
      <c r="Z15" s="5">
        <v>4</v>
      </c>
      <c r="AA15" s="6" t="s">
        <v>67</v>
      </c>
    </row>
    <row r="16" spans="1:27" ht="12.75" x14ac:dyDescent="0.2">
      <c r="A16" s="1">
        <v>45875.017818553242</v>
      </c>
      <c r="B16" s="2" t="s">
        <v>68</v>
      </c>
      <c r="C16" s="2" t="s">
        <v>69</v>
      </c>
      <c r="D16" s="2">
        <v>21518244014</v>
      </c>
      <c r="E16" s="2">
        <v>2021</v>
      </c>
      <c r="F16" s="2" t="s">
        <v>44</v>
      </c>
      <c r="G16" s="2">
        <v>4</v>
      </c>
      <c r="H16" s="2">
        <v>4</v>
      </c>
      <c r="I16" s="2">
        <v>4</v>
      </c>
      <c r="J16" s="2">
        <v>4</v>
      </c>
      <c r="K16" s="2">
        <v>4</v>
      </c>
      <c r="L16" s="2">
        <v>4</v>
      </c>
      <c r="M16" s="2">
        <v>4</v>
      </c>
      <c r="N16" s="2">
        <v>4</v>
      </c>
      <c r="O16" s="2">
        <v>3</v>
      </c>
      <c r="P16" s="2">
        <v>4</v>
      </c>
      <c r="Q16" s="2">
        <v>3</v>
      </c>
      <c r="R16" s="2">
        <v>3</v>
      </c>
      <c r="S16" s="2">
        <v>4</v>
      </c>
      <c r="T16" s="2">
        <v>4</v>
      </c>
      <c r="U16" s="2">
        <v>4</v>
      </c>
      <c r="V16" s="2">
        <v>4</v>
      </c>
      <c r="W16" s="2">
        <v>4</v>
      </c>
      <c r="X16" s="2">
        <v>3</v>
      </c>
      <c r="Y16" s="2">
        <v>4</v>
      </c>
      <c r="Z16" s="2">
        <v>4</v>
      </c>
      <c r="AA16" s="3" t="s">
        <v>30</v>
      </c>
    </row>
    <row r="17" spans="1:27" ht="12.75" x14ac:dyDescent="0.2">
      <c r="A17" s="4">
        <v>45875.348111898144</v>
      </c>
      <c r="B17" s="5" t="s">
        <v>70</v>
      </c>
      <c r="C17" s="5" t="s">
        <v>71</v>
      </c>
      <c r="D17" s="5">
        <v>20518244014</v>
      </c>
      <c r="E17" s="5">
        <v>2020</v>
      </c>
      <c r="F17" s="5" t="s">
        <v>44</v>
      </c>
      <c r="G17" s="5">
        <v>4</v>
      </c>
      <c r="H17" s="5">
        <v>4</v>
      </c>
      <c r="I17" s="5">
        <v>4</v>
      </c>
      <c r="J17" s="5">
        <v>3</v>
      </c>
      <c r="K17" s="5">
        <v>4</v>
      </c>
      <c r="L17" s="5">
        <v>4</v>
      </c>
      <c r="M17" s="5">
        <v>4</v>
      </c>
      <c r="N17" s="5">
        <v>4</v>
      </c>
      <c r="O17" s="5">
        <v>3</v>
      </c>
      <c r="P17" s="5">
        <v>4</v>
      </c>
      <c r="Q17" s="5">
        <v>3</v>
      </c>
      <c r="R17" s="5">
        <v>3</v>
      </c>
      <c r="S17" s="5">
        <v>4</v>
      </c>
      <c r="T17" s="5">
        <v>4</v>
      </c>
      <c r="U17" s="5">
        <v>4</v>
      </c>
      <c r="V17" s="5">
        <v>4</v>
      </c>
      <c r="W17" s="5">
        <v>4</v>
      </c>
      <c r="X17" s="5">
        <v>4</v>
      </c>
      <c r="Y17" s="5">
        <v>4</v>
      </c>
      <c r="Z17" s="5">
        <v>4</v>
      </c>
      <c r="AA17" s="6" t="s">
        <v>72</v>
      </c>
    </row>
    <row r="18" spans="1:27" ht="12.75" x14ac:dyDescent="0.2">
      <c r="A18" s="1">
        <v>45875.376483483793</v>
      </c>
      <c r="B18" s="2" t="s">
        <v>73</v>
      </c>
      <c r="C18" s="2" t="s">
        <v>74</v>
      </c>
      <c r="D18" s="2">
        <v>22518241023</v>
      </c>
      <c r="E18" s="2">
        <v>2022</v>
      </c>
      <c r="F18" s="2" t="s">
        <v>29</v>
      </c>
      <c r="G18" s="2">
        <v>4</v>
      </c>
      <c r="H18" s="2">
        <v>4</v>
      </c>
      <c r="I18" s="2">
        <v>4</v>
      </c>
      <c r="J18" s="2">
        <v>4</v>
      </c>
      <c r="K18" s="2">
        <v>4</v>
      </c>
      <c r="L18" s="2">
        <v>4</v>
      </c>
      <c r="M18" s="2">
        <v>4</v>
      </c>
      <c r="N18" s="2">
        <v>3</v>
      </c>
      <c r="O18" s="2">
        <v>3</v>
      </c>
      <c r="P18" s="2">
        <v>4</v>
      </c>
      <c r="Q18" s="2">
        <v>3</v>
      </c>
      <c r="R18" s="2">
        <v>4</v>
      </c>
      <c r="S18" s="2">
        <v>4</v>
      </c>
      <c r="T18" s="2">
        <v>3</v>
      </c>
      <c r="U18" s="2">
        <v>4</v>
      </c>
      <c r="V18" s="2">
        <v>4</v>
      </c>
      <c r="W18" s="2">
        <v>4</v>
      </c>
      <c r="X18" s="2">
        <v>4</v>
      </c>
      <c r="Y18" s="2">
        <v>4</v>
      </c>
      <c r="Z18" s="2">
        <v>4</v>
      </c>
      <c r="AA18" s="3" t="s">
        <v>75</v>
      </c>
    </row>
    <row r="19" spans="1:27" ht="12.75" x14ac:dyDescent="0.2">
      <c r="A19" s="4">
        <v>45875.566569421295</v>
      </c>
      <c r="B19" s="5" t="s">
        <v>76</v>
      </c>
      <c r="C19" s="5" t="s">
        <v>77</v>
      </c>
      <c r="D19" s="5">
        <v>22518241002</v>
      </c>
      <c r="E19" s="5">
        <v>2022</v>
      </c>
      <c r="F19" s="5" t="s">
        <v>29</v>
      </c>
      <c r="G19" s="5">
        <v>4</v>
      </c>
      <c r="H19" s="5">
        <v>4</v>
      </c>
      <c r="I19" s="5">
        <v>4</v>
      </c>
      <c r="J19" s="5">
        <v>4</v>
      </c>
      <c r="K19" s="5">
        <v>4</v>
      </c>
      <c r="L19" s="5">
        <v>3</v>
      </c>
      <c r="M19" s="5">
        <v>4</v>
      </c>
      <c r="N19" s="5">
        <v>4</v>
      </c>
      <c r="O19" s="5">
        <v>4</v>
      </c>
      <c r="P19" s="5">
        <v>4</v>
      </c>
      <c r="Q19" s="5">
        <v>4</v>
      </c>
      <c r="R19" s="5">
        <v>4</v>
      </c>
      <c r="S19" s="5">
        <v>4</v>
      </c>
      <c r="T19" s="5">
        <v>4</v>
      </c>
      <c r="U19" s="5">
        <v>4</v>
      </c>
      <c r="V19" s="5">
        <v>4</v>
      </c>
      <c r="W19" s="5">
        <v>4</v>
      </c>
      <c r="X19" s="5">
        <v>4</v>
      </c>
      <c r="Y19" s="5">
        <v>4</v>
      </c>
      <c r="Z19" s="5">
        <v>4</v>
      </c>
      <c r="AA19" s="6" t="s">
        <v>78</v>
      </c>
    </row>
    <row r="20" spans="1:27" ht="12.75" x14ac:dyDescent="0.2">
      <c r="A20" s="1">
        <v>45875.925111736113</v>
      </c>
      <c r="B20" s="2" t="s">
        <v>79</v>
      </c>
      <c r="C20" s="2" t="s">
        <v>80</v>
      </c>
      <c r="D20" s="2">
        <v>21518241009</v>
      </c>
      <c r="E20" s="2">
        <v>2021</v>
      </c>
      <c r="F20" s="2" t="s">
        <v>29</v>
      </c>
      <c r="G20" s="2">
        <v>4</v>
      </c>
      <c r="H20" s="2">
        <v>4</v>
      </c>
      <c r="I20" s="2">
        <v>3</v>
      </c>
      <c r="J20" s="2">
        <v>4</v>
      </c>
      <c r="K20" s="2">
        <v>3</v>
      </c>
      <c r="L20" s="2">
        <v>4</v>
      </c>
      <c r="M20" s="2">
        <v>4</v>
      </c>
      <c r="N20" s="2">
        <v>4</v>
      </c>
      <c r="O20" s="2">
        <v>4</v>
      </c>
      <c r="P20" s="2">
        <v>3</v>
      </c>
      <c r="Q20" s="2">
        <v>4</v>
      </c>
      <c r="R20" s="2">
        <v>4</v>
      </c>
      <c r="S20" s="2">
        <v>4</v>
      </c>
      <c r="T20" s="2">
        <v>4</v>
      </c>
      <c r="U20" s="2">
        <v>4</v>
      </c>
      <c r="V20" s="2">
        <v>4</v>
      </c>
      <c r="W20" s="2">
        <v>3</v>
      </c>
      <c r="X20" s="2">
        <v>4</v>
      </c>
      <c r="Y20" s="2">
        <v>4</v>
      </c>
      <c r="Z20" s="2">
        <v>4</v>
      </c>
      <c r="AA20" s="3" t="s">
        <v>81</v>
      </c>
    </row>
    <row r="21" spans="1:27" ht="12.75" x14ac:dyDescent="0.2">
      <c r="A21" s="4">
        <v>45875.968751666667</v>
      </c>
      <c r="B21" s="5" t="s">
        <v>82</v>
      </c>
      <c r="C21" s="5" t="s">
        <v>83</v>
      </c>
      <c r="D21" s="5">
        <v>21518241032</v>
      </c>
      <c r="E21" s="5">
        <v>2021</v>
      </c>
      <c r="F21" s="5" t="s">
        <v>29</v>
      </c>
      <c r="G21" s="5">
        <v>4</v>
      </c>
      <c r="H21" s="5">
        <v>4</v>
      </c>
      <c r="I21" s="5">
        <v>4</v>
      </c>
      <c r="J21" s="5">
        <v>4</v>
      </c>
      <c r="K21" s="5">
        <v>4</v>
      </c>
      <c r="L21" s="5">
        <v>3</v>
      </c>
      <c r="M21" s="5">
        <v>4</v>
      </c>
      <c r="N21" s="5">
        <v>4</v>
      </c>
      <c r="O21" s="5">
        <v>4</v>
      </c>
      <c r="P21" s="5">
        <v>4</v>
      </c>
      <c r="Q21" s="5">
        <v>4</v>
      </c>
      <c r="R21" s="5">
        <v>4</v>
      </c>
      <c r="S21" s="5">
        <v>3</v>
      </c>
      <c r="T21" s="5">
        <v>4</v>
      </c>
      <c r="U21" s="5">
        <v>4</v>
      </c>
      <c r="V21" s="5">
        <v>4</v>
      </c>
      <c r="W21" s="5">
        <v>4</v>
      </c>
      <c r="X21" s="5">
        <v>4</v>
      </c>
      <c r="Y21" s="5">
        <v>3</v>
      </c>
      <c r="Z21" s="5">
        <v>4</v>
      </c>
      <c r="AA21" s="6" t="s">
        <v>84</v>
      </c>
    </row>
    <row r="22" spans="1:27" ht="12.75" x14ac:dyDescent="0.2">
      <c r="A22" s="1">
        <v>45876.499060868053</v>
      </c>
      <c r="B22" s="2" t="s">
        <v>85</v>
      </c>
      <c r="C22" s="2" t="s">
        <v>86</v>
      </c>
      <c r="D22" s="2">
        <v>21518241035</v>
      </c>
      <c r="E22" s="2">
        <v>2021</v>
      </c>
      <c r="F22" s="2" t="s">
        <v>29</v>
      </c>
      <c r="G22" s="2">
        <v>4</v>
      </c>
      <c r="H22" s="2">
        <v>4</v>
      </c>
      <c r="I22" s="2">
        <v>3</v>
      </c>
      <c r="J22" s="2">
        <v>4</v>
      </c>
      <c r="K22" s="2">
        <v>4</v>
      </c>
      <c r="L22" s="2">
        <v>4</v>
      </c>
      <c r="M22" s="2">
        <v>3</v>
      </c>
      <c r="N22" s="2">
        <v>3</v>
      </c>
      <c r="O22" s="2">
        <v>4</v>
      </c>
      <c r="P22" s="2">
        <v>4</v>
      </c>
      <c r="Q22" s="2">
        <v>4</v>
      </c>
      <c r="R22" s="2">
        <v>4</v>
      </c>
      <c r="S22" s="2">
        <v>3</v>
      </c>
      <c r="T22" s="2">
        <v>4</v>
      </c>
      <c r="U22" s="2">
        <v>4</v>
      </c>
      <c r="V22" s="2">
        <v>4</v>
      </c>
      <c r="W22" s="2">
        <v>4</v>
      </c>
      <c r="X22" s="2">
        <v>4</v>
      </c>
      <c r="Y22" s="2">
        <v>4</v>
      </c>
      <c r="Z22" s="2">
        <v>4</v>
      </c>
      <c r="AA22" s="3" t="s">
        <v>87</v>
      </c>
    </row>
    <row r="23" spans="1:27" ht="12.75" x14ac:dyDescent="0.2">
      <c r="A23" s="4">
        <v>45876.511697939815</v>
      </c>
      <c r="B23" s="5" t="s">
        <v>88</v>
      </c>
      <c r="C23" s="5" t="s">
        <v>89</v>
      </c>
      <c r="D23" s="5">
        <v>21518241028</v>
      </c>
      <c r="E23" s="5">
        <v>2021</v>
      </c>
      <c r="F23" s="5" t="s">
        <v>29</v>
      </c>
      <c r="G23" s="5">
        <v>4</v>
      </c>
      <c r="H23" s="5">
        <v>4</v>
      </c>
      <c r="I23" s="5">
        <v>4</v>
      </c>
      <c r="J23" s="5">
        <v>4</v>
      </c>
      <c r="K23" s="5">
        <v>4</v>
      </c>
      <c r="L23" s="5">
        <v>4</v>
      </c>
      <c r="M23" s="5">
        <v>3</v>
      </c>
      <c r="N23" s="5">
        <v>3</v>
      </c>
      <c r="O23" s="5">
        <v>3</v>
      </c>
      <c r="P23" s="5">
        <v>3</v>
      </c>
      <c r="Q23" s="5">
        <v>4</v>
      </c>
      <c r="R23" s="5">
        <v>3</v>
      </c>
      <c r="S23" s="5">
        <v>3</v>
      </c>
      <c r="T23" s="5">
        <v>3</v>
      </c>
      <c r="U23" s="5">
        <v>3</v>
      </c>
      <c r="V23" s="5">
        <v>4</v>
      </c>
      <c r="W23" s="5">
        <v>4</v>
      </c>
      <c r="X23" s="5">
        <v>4</v>
      </c>
      <c r="Y23" s="5">
        <v>4</v>
      </c>
      <c r="Z23" s="5">
        <v>4</v>
      </c>
      <c r="AA23" s="6" t="s">
        <v>90</v>
      </c>
    </row>
    <row r="24" spans="1:27" ht="12.75" x14ac:dyDescent="0.2">
      <c r="A24" s="1">
        <v>45877.638871886578</v>
      </c>
      <c r="B24" s="2" t="s">
        <v>91</v>
      </c>
      <c r="C24" s="2" t="s">
        <v>92</v>
      </c>
      <c r="D24" s="2">
        <v>22518244004</v>
      </c>
      <c r="E24" s="2">
        <v>2022</v>
      </c>
      <c r="F24" s="2" t="s">
        <v>44</v>
      </c>
      <c r="G24" s="2">
        <v>4</v>
      </c>
      <c r="H24" s="2">
        <v>4</v>
      </c>
      <c r="I24" s="2">
        <v>4</v>
      </c>
      <c r="J24" s="2">
        <v>4</v>
      </c>
      <c r="K24" s="2">
        <v>4</v>
      </c>
      <c r="L24" s="2">
        <v>4</v>
      </c>
      <c r="M24" s="2">
        <v>4</v>
      </c>
      <c r="N24" s="2">
        <v>4</v>
      </c>
      <c r="O24" s="2">
        <v>3</v>
      </c>
      <c r="P24" s="2">
        <v>3</v>
      </c>
      <c r="Q24" s="2">
        <v>4</v>
      </c>
      <c r="R24" s="2">
        <v>4</v>
      </c>
      <c r="S24" s="2">
        <v>3</v>
      </c>
      <c r="T24" s="2">
        <v>4</v>
      </c>
      <c r="U24" s="2">
        <v>4</v>
      </c>
      <c r="V24" s="2">
        <v>4</v>
      </c>
      <c r="W24" s="2">
        <v>4</v>
      </c>
      <c r="X24" s="2">
        <v>4</v>
      </c>
      <c r="Y24" s="2">
        <v>4</v>
      </c>
      <c r="Z24" s="2">
        <v>4</v>
      </c>
      <c r="AA24" s="3" t="s">
        <v>93</v>
      </c>
    </row>
    <row r="25" spans="1:27" ht="12.75" x14ac:dyDescent="0.2">
      <c r="A25" s="4">
        <v>45878.450647743055</v>
      </c>
      <c r="B25" s="5" t="s">
        <v>94</v>
      </c>
      <c r="C25" s="5" t="s">
        <v>95</v>
      </c>
      <c r="D25" s="5">
        <v>21518241025</v>
      </c>
      <c r="E25" s="5">
        <v>2021</v>
      </c>
      <c r="F25" s="5" t="s">
        <v>29</v>
      </c>
      <c r="G25" s="5">
        <v>4</v>
      </c>
      <c r="H25" s="5">
        <v>4</v>
      </c>
      <c r="I25" s="5">
        <v>4</v>
      </c>
      <c r="J25" s="5">
        <v>4</v>
      </c>
      <c r="K25" s="5">
        <v>4</v>
      </c>
      <c r="L25" s="5">
        <v>4</v>
      </c>
      <c r="M25" s="5">
        <v>4</v>
      </c>
      <c r="N25" s="5">
        <v>4</v>
      </c>
      <c r="O25" s="5">
        <v>3</v>
      </c>
      <c r="P25" s="5">
        <v>3</v>
      </c>
      <c r="Q25" s="5">
        <v>4</v>
      </c>
      <c r="R25" s="5">
        <v>4</v>
      </c>
      <c r="S25" s="5">
        <v>4</v>
      </c>
      <c r="T25" s="5">
        <v>4</v>
      </c>
      <c r="U25" s="5">
        <v>4</v>
      </c>
      <c r="V25" s="5">
        <v>4</v>
      </c>
      <c r="W25" s="5">
        <v>4</v>
      </c>
      <c r="X25" s="5">
        <v>4</v>
      </c>
      <c r="Y25" s="5">
        <v>4</v>
      </c>
      <c r="Z25" s="5">
        <v>4</v>
      </c>
      <c r="AA25" s="6" t="s">
        <v>96</v>
      </c>
    </row>
    <row r="26" spans="1:27" ht="12.75" x14ac:dyDescent="0.2">
      <c r="A26" s="4">
        <v>45880.378010439817</v>
      </c>
      <c r="B26" s="5" t="s">
        <v>97</v>
      </c>
      <c r="C26" s="5" t="s">
        <v>98</v>
      </c>
      <c r="D26" s="5">
        <v>21518241017</v>
      </c>
      <c r="E26" s="5">
        <v>2021</v>
      </c>
      <c r="F26" s="5" t="s">
        <v>29</v>
      </c>
      <c r="G26" s="5">
        <v>4</v>
      </c>
      <c r="H26" s="5">
        <v>4</v>
      </c>
      <c r="I26" s="5">
        <v>4</v>
      </c>
      <c r="J26" s="5">
        <v>4</v>
      </c>
      <c r="K26" s="5">
        <v>4</v>
      </c>
      <c r="L26" s="5">
        <v>4</v>
      </c>
      <c r="M26" s="5">
        <v>4</v>
      </c>
      <c r="N26" s="5">
        <v>4</v>
      </c>
      <c r="O26" s="5">
        <v>4</v>
      </c>
      <c r="P26" s="5">
        <v>4</v>
      </c>
      <c r="Q26" s="5">
        <v>4</v>
      </c>
      <c r="R26" s="5">
        <v>4</v>
      </c>
      <c r="S26" s="5">
        <v>4</v>
      </c>
      <c r="T26" s="5">
        <v>4</v>
      </c>
      <c r="U26" s="5">
        <v>4</v>
      </c>
      <c r="V26" s="5">
        <v>4</v>
      </c>
      <c r="W26" s="5">
        <v>4</v>
      </c>
      <c r="X26" s="5">
        <v>4</v>
      </c>
      <c r="Y26" s="5">
        <v>4</v>
      </c>
      <c r="Z26" s="5">
        <v>4</v>
      </c>
      <c r="AA26" s="6" t="s">
        <v>99</v>
      </c>
    </row>
    <row r="27" spans="1:27" ht="12.75" x14ac:dyDescent="0.2">
      <c r="A27" s="1">
        <v>45880.433770636577</v>
      </c>
      <c r="B27" s="2" t="s">
        <v>100</v>
      </c>
      <c r="C27" s="2" t="s">
        <v>101</v>
      </c>
      <c r="D27" s="2">
        <v>21518241001</v>
      </c>
      <c r="E27" s="2">
        <v>2021</v>
      </c>
      <c r="F27" s="2" t="s">
        <v>29</v>
      </c>
      <c r="G27" s="2">
        <v>4</v>
      </c>
      <c r="H27" s="2">
        <v>4</v>
      </c>
      <c r="I27" s="2">
        <v>4</v>
      </c>
      <c r="J27" s="2">
        <v>3</v>
      </c>
      <c r="K27" s="2">
        <v>3</v>
      </c>
      <c r="L27" s="2">
        <v>4</v>
      </c>
      <c r="M27" s="2">
        <v>3</v>
      </c>
      <c r="N27" s="2">
        <v>4</v>
      </c>
      <c r="O27" s="2">
        <v>3</v>
      </c>
      <c r="P27" s="2">
        <v>4</v>
      </c>
      <c r="Q27" s="2">
        <v>3</v>
      </c>
      <c r="R27" s="2">
        <v>3</v>
      </c>
      <c r="S27" s="2">
        <v>3</v>
      </c>
      <c r="T27" s="2">
        <v>3</v>
      </c>
      <c r="U27" s="2">
        <v>4</v>
      </c>
      <c r="V27" s="2">
        <v>4</v>
      </c>
      <c r="W27" s="2">
        <v>4</v>
      </c>
      <c r="X27" s="2">
        <v>3</v>
      </c>
      <c r="Y27" s="2">
        <v>4</v>
      </c>
      <c r="Z27" s="2">
        <v>3</v>
      </c>
      <c r="AA27" s="3" t="s">
        <v>102</v>
      </c>
    </row>
    <row r="28" spans="1:27" ht="12.75" x14ac:dyDescent="0.2">
      <c r="A28" s="4">
        <v>45880.655310648144</v>
      </c>
      <c r="B28" s="5" t="s">
        <v>103</v>
      </c>
      <c r="C28" s="5" t="s">
        <v>104</v>
      </c>
      <c r="D28" s="5">
        <v>21518241019</v>
      </c>
      <c r="E28" s="5">
        <v>2021</v>
      </c>
      <c r="F28" s="5" t="s">
        <v>29</v>
      </c>
      <c r="G28" s="5">
        <v>3</v>
      </c>
      <c r="H28" s="5">
        <v>4</v>
      </c>
      <c r="I28" s="5">
        <v>4</v>
      </c>
      <c r="J28" s="5">
        <v>4</v>
      </c>
      <c r="K28" s="5">
        <v>4</v>
      </c>
      <c r="L28" s="5">
        <v>4</v>
      </c>
      <c r="M28" s="5">
        <v>3</v>
      </c>
      <c r="N28" s="5">
        <v>4</v>
      </c>
      <c r="O28" s="5">
        <v>4</v>
      </c>
      <c r="P28" s="5">
        <v>4</v>
      </c>
      <c r="Q28" s="5">
        <v>4</v>
      </c>
      <c r="R28" s="5">
        <v>4</v>
      </c>
      <c r="S28" s="5">
        <v>4</v>
      </c>
      <c r="T28" s="5">
        <v>4</v>
      </c>
      <c r="U28" s="5">
        <v>4</v>
      </c>
      <c r="V28" s="5">
        <v>4</v>
      </c>
      <c r="W28" s="5">
        <v>4</v>
      </c>
      <c r="X28" s="5">
        <v>4</v>
      </c>
      <c r="Y28" s="5">
        <v>4</v>
      </c>
      <c r="Z28" s="5">
        <v>3</v>
      </c>
      <c r="AA28" s="6" t="s">
        <v>105</v>
      </c>
    </row>
    <row r="29" spans="1:27" ht="12.75" x14ac:dyDescent="0.2">
      <c r="A29" s="1">
        <v>45882.392627627312</v>
      </c>
      <c r="B29" s="2" t="s">
        <v>106</v>
      </c>
      <c r="C29" s="2" t="s">
        <v>107</v>
      </c>
      <c r="D29" s="2">
        <v>21518241016</v>
      </c>
      <c r="E29" s="2">
        <v>2021</v>
      </c>
      <c r="F29" s="2" t="s">
        <v>29</v>
      </c>
      <c r="G29" s="2">
        <v>4</v>
      </c>
      <c r="H29" s="2">
        <v>4</v>
      </c>
      <c r="I29" s="2">
        <v>3</v>
      </c>
      <c r="J29" s="2">
        <v>4</v>
      </c>
      <c r="K29" s="2">
        <v>4</v>
      </c>
      <c r="L29" s="2">
        <v>4</v>
      </c>
      <c r="M29" s="2">
        <v>4</v>
      </c>
      <c r="N29" s="2">
        <v>4</v>
      </c>
      <c r="O29" s="2">
        <v>4</v>
      </c>
      <c r="P29" s="2">
        <v>4</v>
      </c>
      <c r="Q29" s="2">
        <v>4</v>
      </c>
      <c r="R29" s="2">
        <v>4</v>
      </c>
      <c r="S29" s="2">
        <v>4</v>
      </c>
      <c r="T29" s="2">
        <v>4</v>
      </c>
      <c r="U29" s="2">
        <v>4</v>
      </c>
      <c r="V29" s="2">
        <v>4</v>
      </c>
      <c r="W29" s="2">
        <v>4</v>
      </c>
      <c r="X29" s="2">
        <v>4</v>
      </c>
      <c r="Y29" s="2">
        <v>4</v>
      </c>
      <c r="Z29" s="2">
        <v>4</v>
      </c>
      <c r="AA29" s="3" t="s">
        <v>108</v>
      </c>
    </row>
    <row r="30" spans="1:27" ht="12.75" x14ac:dyDescent="0.2">
      <c r="A30" s="4">
        <v>45882.742792256948</v>
      </c>
      <c r="B30" s="5" t="s">
        <v>109</v>
      </c>
      <c r="C30" s="5" t="s">
        <v>110</v>
      </c>
      <c r="D30" s="5">
        <v>21518241034</v>
      </c>
      <c r="E30" s="5">
        <v>2021</v>
      </c>
      <c r="F30" s="5" t="s">
        <v>29</v>
      </c>
      <c r="G30" s="5">
        <v>4</v>
      </c>
      <c r="H30" s="5">
        <v>4</v>
      </c>
      <c r="I30" s="5">
        <v>4</v>
      </c>
      <c r="J30" s="5">
        <v>4</v>
      </c>
      <c r="K30" s="5">
        <v>4</v>
      </c>
      <c r="L30" s="5">
        <v>4</v>
      </c>
      <c r="M30" s="5">
        <v>4</v>
      </c>
      <c r="N30" s="5">
        <v>4</v>
      </c>
      <c r="O30" s="5">
        <v>4</v>
      </c>
      <c r="P30" s="5">
        <v>4</v>
      </c>
      <c r="Q30" s="5">
        <v>4</v>
      </c>
      <c r="R30" s="5">
        <v>4</v>
      </c>
      <c r="S30" s="5">
        <v>4</v>
      </c>
      <c r="T30" s="5">
        <v>4</v>
      </c>
      <c r="U30" s="5">
        <v>4</v>
      </c>
      <c r="V30" s="5">
        <v>4</v>
      </c>
      <c r="W30" s="5">
        <v>4</v>
      </c>
      <c r="X30" s="5">
        <v>4</v>
      </c>
      <c r="Y30" s="5">
        <v>4</v>
      </c>
      <c r="Z30" s="5">
        <v>4</v>
      </c>
      <c r="AA30" s="6" t="s">
        <v>111</v>
      </c>
    </row>
    <row r="31" spans="1:27" ht="12.75" x14ac:dyDescent="0.2">
      <c r="A31" s="7">
        <v>45883.766259201388</v>
      </c>
      <c r="B31" s="8" t="s">
        <v>112</v>
      </c>
      <c r="C31" s="8" t="s">
        <v>113</v>
      </c>
      <c r="D31" s="8">
        <v>21518241010</v>
      </c>
      <c r="E31" s="8">
        <v>2021</v>
      </c>
      <c r="F31" s="8" t="s">
        <v>29</v>
      </c>
      <c r="G31" s="8">
        <v>4</v>
      </c>
      <c r="H31" s="8">
        <v>4</v>
      </c>
      <c r="I31" s="8">
        <v>4</v>
      </c>
      <c r="J31" s="8">
        <v>4</v>
      </c>
      <c r="K31" s="8">
        <v>4</v>
      </c>
      <c r="L31" s="8">
        <v>4</v>
      </c>
      <c r="M31" s="8">
        <v>4</v>
      </c>
      <c r="N31" s="8">
        <v>4</v>
      </c>
      <c r="O31" s="8">
        <v>4</v>
      </c>
      <c r="P31" s="8">
        <v>4</v>
      </c>
      <c r="Q31" s="8">
        <v>4</v>
      </c>
      <c r="R31" s="8">
        <v>4</v>
      </c>
      <c r="S31" s="8">
        <v>4</v>
      </c>
      <c r="T31" s="8">
        <v>4</v>
      </c>
      <c r="U31" s="8">
        <v>4</v>
      </c>
      <c r="V31" s="8">
        <v>4</v>
      </c>
      <c r="W31" s="8">
        <v>4</v>
      </c>
      <c r="X31" s="8">
        <v>4</v>
      </c>
      <c r="Y31" s="8">
        <v>4</v>
      </c>
      <c r="Z31" s="8">
        <v>4</v>
      </c>
      <c r="AA31" s="9" t="s">
        <v>114</v>
      </c>
    </row>
    <row r="32" spans="1:27" ht="12.75" x14ac:dyDescent="0.2">
      <c r="B32" s="10" t="s">
        <v>116</v>
      </c>
      <c r="C32" s="10" t="s">
        <v>120</v>
      </c>
      <c r="D32" s="10" t="s">
        <v>121</v>
      </c>
      <c r="E32" s="10" t="s">
        <v>122</v>
      </c>
      <c r="F32" s="10" t="s">
        <v>123</v>
      </c>
      <c r="G32" s="10" t="s">
        <v>125</v>
      </c>
    </row>
    <row r="33" spans="1:7" ht="21.75" customHeight="1" x14ac:dyDescent="0.2">
      <c r="A33" s="10" t="s">
        <v>115</v>
      </c>
      <c r="B33">
        <f>COUNT(G2:L2)</f>
        <v>6</v>
      </c>
      <c r="C33">
        <f>B33*B39</f>
        <v>180</v>
      </c>
      <c r="D33">
        <f>4*B33*B39</f>
        <v>720</v>
      </c>
      <c r="E33" s="22">
        <f>F33/B39</f>
        <v>20.433333333333334</v>
      </c>
      <c r="F33">
        <f>SUM(G6:L31)</f>
        <v>613</v>
      </c>
      <c r="G33" s="15">
        <f>F33/D33</f>
        <v>0.85138888888888886</v>
      </c>
    </row>
    <row r="34" spans="1:7" ht="15.75" customHeight="1" x14ac:dyDescent="0.2">
      <c r="A34" t="s">
        <v>117</v>
      </c>
      <c r="B34">
        <f>COUNT(M2:T2)</f>
        <v>8</v>
      </c>
      <c r="C34">
        <f>B34*B39</f>
        <v>240</v>
      </c>
      <c r="D34">
        <f>4*B34*B39</f>
        <v>960</v>
      </c>
      <c r="E34" s="22">
        <f>F34/B39</f>
        <v>29.833333333333332</v>
      </c>
      <c r="F34">
        <f>SUM(M2:T31)</f>
        <v>895</v>
      </c>
      <c r="G34" s="15">
        <f t="shared" ref="G34:G35" si="0">F34/D34</f>
        <v>0.93229166666666663</v>
      </c>
    </row>
    <row r="35" spans="1:7" ht="15.75" customHeight="1" x14ac:dyDescent="0.2">
      <c r="A35" t="s">
        <v>118</v>
      </c>
      <c r="B35">
        <f>COUNT(U10:Z10)</f>
        <v>6</v>
      </c>
      <c r="C35">
        <f>B35*B39</f>
        <v>180</v>
      </c>
      <c r="D35">
        <f>4*B35*B39</f>
        <v>720</v>
      </c>
      <c r="E35" s="22">
        <f>F35/B39</f>
        <v>20.5</v>
      </c>
      <c r="F35">
        <f>SUM(U6:Z31)</f>
        <v>615</v>
      </c>
      <c r="G35" s="15">
        <f t="shared" si="0"/>
        <v>0.85416666666666663</v>
      </c>
    </row>
    <row r="37" spans="1:7" ht="15.75" customHeight="1" x14ac:dyDescent="0.2">
      <c r="A37" s="10" t="s">
        <v>119</v>
      </c>
      <c r="B37">
        <f>SUM(B33:B35)</f>
        <v>20</v>
      </c>
      <c r="C37">
        <f>SUM(C33:C35)</f>
        <v>600</v>
      </c>
      <c r="D37">
        <f t="shared" ref="D37:G37" si="1">SUM(D33:D35)</f>
        <v>2400</v>
      </c>
      <c r="E37">
        <f t="shared" si="1"/>
        <v>70.766666666666666</v>
      </c>
      <c r="F37">
        <f t="shared" si="1"/>
        <v>2123</v>
      </c>
      <c r="G37" s="16">
        <f>F37/D37</f>
        <v>0.88458333333333339</v>
      </c>
    </row>
    <row r="39" spans="1:7" ht="15.75" customHeight="1" x14ac:dyDescent="0.2">
      <c r="A39" s="10" t="s">
        <v>124</v>
      </c>
      <c r="B39">
        <f>COUNT(G2:G31)</f>
        <v>30</v>
      </c>
    </row>
  </sheetData>
  <pageMargins left="0.7" right="0.7" top="0.75" bottom="0.75" header="0.3" footer="0.3"/>
  <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E360-0694-40AB-B664-8146E5DB7F35}">
  <dimension ref="A1:U69"/>
  <sheetViews>
    <sheetView topLeftCell="A38" workbookViewId="0">
      <selection activeCell="B69" sqref="B69"/>
    </sheetView>
  </sheetViews>
  <sheetFormatPr defaultRowHeight="12.75" x14ac:dyDescent="0.2"/>
  <cols>
    <col min="1" max="1" width="17.28515625" customWidth="1"/>
  </cols>
  <sheetData>
    <row r="1" spans="2:21" x14ac:dyDescent="0.2">
      <c r="B1" s="17">
        <v>4</v>
      </c>
      <c r="C1" s="17">
        <v>4</v>
      </c>
      <c r="D1" s="17">
        <v>4</v>
      </c>
      <c r="E1" s="17">
        <v>4</v>
      </c>
      <c r="F1" s="17">
        <v>4</v>
      </c>
      <c r="G1" s="17">
        <v>4</v>
      </c>
      <c r="H1" s="17">
        <v>4</v>
      </c>
      <c r="I1" s="17">
        <v>4</v>
      </c>
      <c r="J1" s="17">
        <v>4</v>
      </c>
      <c r="K1" s="17">
        <v>4</v>
      </c>
      <c r="L1" s="17">
        <v>4</v>
      </c>
      <c r="M1" s="17">
        <v>4</v>
      </c>
      <c r="N1" s="17">
        <v>4</v>
      </c>
      <c r="O1" s="17">
        <v>4</v>
      </c>
      <c r="P1" s="17">
        <v>4</v>
      </c>
      <c r="Q1" s="17">
        <v>4</v>
      </c>
      <c r="R1" s="17">
        <v>4</v>
      </c>
      <c r="S1" s="17">
        <v>4</v>
      </c>
      <c r="T1" s="17">
        <v>4</v>
      </c>
      <c r="U1" s="17">
        <v>4</v>
      </c>
    </row>
    <row r="2" spans="2:21" x14ac:dyDescent="0.2">
      <c r="B2" s="18">
        <v>4</v>
      </c>
      <c r="C2" s="18">
        <v>4</v>
      </c>
      <c r="D2" s="18">
        <v>4</v>
      </c>
      <c r="E2" s="18">
        <v>4</v>
      </c>
      <c r="F2" s="18">
        <v>4</v>
      </c>
      <c r="G2" s="18">
        <v>4</v>
      </c>
      <c r="H2" s="18">
        <v>4</v>
      </c>
      <c r="I2" s="18">
        <v>4</v>
      </c>
      <c r="J2" s="18">
        <v>4</v>
      </c>
      <c r="K2" s="18">
        <v>4</v>
      </c>
      <c r="L2" s="18">
        <v>4</v>
      </c>
      <c r="M2" s="18">
        <v>4</v>
      </c>
      <c r="N2" s="18">
        <v>4</v>
      </c>
      <c r="O2" s="18">
        <v>4</v>
      </c>
      <c r="P2" s="18">
        <v>4</v>
      </c>
      <c r="Q2" s="18">
        <v>4</v>
      </c>
      <c r="R2" s="18">
        <v>4</v>
      </c>
      <c r="S2" s="18">
        <v>4</v>
      </c>
      <c r="T2" s="18">
        <v>4</v>
      </c>
      <c r="U2" s="18">
        <v>4</v>
      </c>
    </row>
    <row r="3" spans="2:21" x14ac:dyDescent="0.2">
      <c r="B3" s="19">
        <v>4</v>
      </c>
      <c r="C3" s="19">
        <v>4</v>
      </c>
      <c r="D3" s="19">
        <v>4</v>
      </c>
      <c r="E3" s="19">
        <v>4</v>
      </c>
      <c r="F3" s="19">
        <v>4</v>
      </c>
      <c r="G3" s="19">
        <v>4</v>
      </c>
      <c r="H3" s="19">
        <v>4</v>
      </c>
      <c r="I3" s="19">
        <v>4</v>
      </c>
      <c r="J3" s="19">
        <v>4</v>
      </c>
      <c r="K3" s="19">
        <v>4</v>
      </c>
      <c r="L3" s="19">
        <v>4</v>
      </c>
      <c r="M3" s="19">
        <v>4</v>
      </c>
      <c r="N3" s="19">
        <v>4</v>
      </c>
      <c r="O3" s="19">
        <v>3</v>
      </c>
      <c r="P3" s="19">
        <v>4</v>
      </c>
      <c r="Q3" s="19">
        <v>4</v>
      </c>
      <c r="R3" s="19">
        <v>4</v>
      </c>
      <c r="S3" s="19">
        <v>4</v>
      </c>
      <c r="T3" s="19">
        <v>4</v>
      </c>
      <c r="U3" s="19">
        <v>4</v>
      </c>
    </row>
    <row r="4" spans="2:21" x14ac:dyDescent="0.2">
      <c r="B4" s="20">
        <v>4</v>
      </c>
      <c r="C4" s="20">
        <v>4</v>
      </c>
      <c r="D4" s="20">
        <v>4</v>
      </c>
      <c r="E4" s="20">
        <v>4</v>
      </c>
      <c r="F4" s="20">
        <v>4</v>
      </c>
      <c r="G4" s="20">
        <v>4</v>
      </c>
      <c r="H4" s="20">
        <v>4</v>
      </c>
      <c r="I4" s="20">
        <v>4</v>
      </c>
      <c r="J4" s="20">
        <v>3</v>
      </c>
      <c r="K4" s="20">
        <v>4</v>
      </c>
      <c r="L4" s="20">
        <v>4</v>
      </c>
      <c r="M4" s="20">
        <v>4</v>
      </c>
      <c r="N4" s="20">
        <v>3</v>
      </c>
      <c r="O4" s="20">
        <v>3</v>
      </c>
      <c r="P4" s="20">
        <v>3</v>
      </c>
      <c r="Q4" s="20">
        <v>3</v>
      </c>
      <c r="R4" s="20">
        <v>3</v>
      </c>
      <c r="S4" s="20">
        <v>3</v>
      </c>
      <c r="T4" s="20">
        <v>4</v>
      </c>
      <c r="U4" s="20">
        <v>3</v>
      </c>
    </row>
    <row r="5" spans="2:21" x14ac:dyDescent="0.2">
      <c r="B5" s="17">
        <v>4</v>
      </c>
      <c r="C5" s="17">
        <v>4</v>
      </c>
      <c r="D5" s="17">
        <v>4</v>
      </c>
      <c r="E5" s="17">
        <v>4</v>
      </c>
      <c r="F5" s="17">
        <v>4</v>
      </c>
      <c r="G5" s="17">
        <v>4</v>
      </c>
      <c r="H5" s="17">
        <v>4</v>
      </c>
      <c r="I5" s="17">
        <v>3</v>
      </c>
      <c r="J5" s="17">
        <v>4</v>
      </c>
      <c r="K5" s="17">
        <v>4</v>
      </c>
      <c r="L5" s="17">
        <v>3</v>
      </c>
      <c r="M5" s="17">
        <v>4</v>
      </c>
      <c r="N5" s="17">
        <v>4</v>
      </c>
      <c r="O5" s="17">
        <v>3</v>
      </c>
      <c r="P5" s="17">
        <v>4</v>
      </c>
      <c r="Q5" s="17">
        <v>4</v>
      </c>
      <c r="R5" s="17">
        <v>4</v>
      </c>
      <c r="S5" s="17">
        <v>4</v>
      </c>
      <c r="T5" s="17">
        <v>4</v>
      </c>
      <c r="U5" s="17">
        <v>4</v>
      </c>
    </row>
    <row r="6" spans="2:21" x14ac:dyDescent="0.2">
      <c r="B6" s="20">
        <v>4</v>
      </c>
      <c r="C6" s="20">
        <v>4</v>
      </c>
      <c r="D6" s="20">
        <v>4</v>
      </c>
      <c r="E6" s="20">
        <v>4</v>
      </c>
      <c r="F6" s="20">
        <v>4</v>
      </c>
      <c r="G6" s="20">
        <v>4</v>
      </c>
      <c r="H6" s="20">
        <v>3</v>
      </c>
      <c r="I6" s="20">
        <v>4</v>
      </c>
      <c r="J6" s="20">
        <v>4</v>
      </c>
      <c r="K6" s="20">
        <v>3</v>
      </c>
      <c r="L6" s="20">
        <v>4</v>
      </c>
      <c r="M6" s="20">
        <v>4</v>
      </c>
      <c r="N6" s="20">
        <v>3</v>
      </c>
      <c r="O6" s="20">
        <v>3</v>
      </c>
      <c r="P6" s="20">
        <v>4</v>
      </c>
      <c r="Q6" s="20">
        <v>4</v>
      </c>
      <c r="R6" s="20">
        <v>3</v>
      </c>
      <c r="S6" s="20">
        <v>4</v>
      </c>
      <c r="T6" s="20">
        <v>4</v>
      </c>
      <c r="U6" s="20">
        <v>4</v>
      </c>
    </row>
    <row r="7" spans="2:21" x14ac:dyDescent="0.2">
      <c r="B7" s="17">
        <v>4</v>
      </c>
      <c r="C7" s="17">
        <v>4</v>
      </c>
      <c r="D7" s="17">
        <v>4</v>
      </c>
      <c r="E7" s="17">
        <v>4</v>
      </c>
      <c r="F7" s="17">
        <v>4</v>
      </c>
      <c r="G7" s="17">
        <v>4</v>
      </c>
      <c r="H7" s="17">
        <v>4</v>
      </c>
      <c r="I7" s="17">
        <v>3</v>
      </c>
      <c r="J7" s="17">
        <v>4</v>
      </c>
      <c r="K7" s="17">
        <v>3</v>
      </c>
      <c r="L7" s="17">
        <v>4</v>
      </c>
      <c r="M7" s="17">
        <v>4</v>
      </c>
      <c r="N7" s="17">
        <v>4</v>
      </c>
      <c r="O7" s="17">
        <v>4</v>
      </c>
      <c r="P7" s="17">
        <v>4</v>
      </c>
      <c r="Q7" s="17">
        <v>4</v>
      </c>
      <c r="R7" s="17">
        <v>4</v>
      </c>
      <c r="S7" s="17">
        <v>4</v>
      </c>
      <c r="T7" s="17">
        <v>4</v>
      </c>
      <c r="U7" s="17">
        <v>4</v>
      </c>
    </row>
    <row r="8" spans="2:21" x14ac:dyDescent="0.2">
      <c r="B8" s="20">
        <v>4</v>
      </c>
      <c r="C8" s="20">
        <v>4</v>
      </c>
      <c r="D8" s="20">
        <v>4</v>
      </c>
      <c r="E8" s="20">
        <v>3</v>
      </c>
      <c r="F8" s="20">
        <v>4</v>
      </c>
      <c r="G8" s="20">
        <v>4</v>
      </c>
      <c r="H8" s="20">
        <v>4</v>
      </c>
      <c r="I8" s="20">
        <v>3</v>
      </c>
      <c r="J8" s="20">
        <v>4</v>
      </c>
      <c r="K8" s="20">
        <v>3</v>
      </c>
      <c r="L8" s="20">
        <v>4</v>
      </c>
      <c r="M8" s="20">
        <v>3</v>
      </c>
      <c r="N8" s="20">
        <v>4</v>
      </c>
      <c r="O8" s="20">
        <v>3</v>
      </c>
      <c r="P8" s="20">
        <v>4</v>
      </c>
      <c r="Q8" s="20">
        <v>4</v>
      </c>
      <c r="R8" s="20">
        <v>4</v>
      </c>
      <c r="S8" s="20">
        <v>4</v>
      </c>
      <c r="T8" s="20">
        <v>3</v>
      </c>
      <c r="U8" s="20">
        <v>4</v>
      </c>
    </row>
    <row r="9" spans="2:21" x14ac:dyDescent="0.2">
      <c r="B9" s="17">
        <v>4</v>
      </c>
      <c r="C9" s="17">
        <v>4</v>
      </c>
      <c r="D9" s="17">
        <v>4</v>
      </c>
      <c r="E9" s="17">
        <v>4</v>
      </c>
      <c r="F9" s="17">
        <v>4</v>
      </c>
      <c r="G9" s="17">
        <v>4</v>
      </c>
      <c r="H9" s="17">
        <v>3</v>
      </c>
      <c r="I9" s="17">
        <v>4</v>
      </c>
      <c r="J9" s="17">
        <v>3</v>
      </c>
      <c r="K9" s="17">
        <v>4</v>
      </c>
      <c r="L9" s="17">
        <v>4</v>
      </c>
      <c r="M9" s="17">
        <v>4</v>
      </c>
      <c r="N9" s="17">
        <v>3</v>
      </c>
      <c r="O9" s="17">
        <v>3</v>
      </c>
      <c r="P9" s="17">
        <v>4</v>
      </c>
      <c r="Q9" s="17">
        <v>4</v>
      </c>
      <c r="R9" s="17">
        <v>4</v>
      </c>
      <c r="S9" s="17">
        <v>4</v>
      </c>
      <c r="T9" s="17">
        <v>4</v>
      </c>
      <c r="U9" s="17">
        <v>4</v>
      </c>
    </row>
    <row r="10" spans="2:21" x14ac:dyDescent="0.2">
      <c r="B10" s="20">
        <v>4</v>
      </c>
      <c r="C10" s="20">
        <v>4</v>
      </c>
      <c r="D10" s="20">
        <v>4</v>
      </c>
      <c r="E10" s="20">
        <v>4</v>
      </c>
      <c r="F10" s="20">
        <v>4</v>
      </c>
      <c r="G10" s="20">
        <v>4</v>
      </c>
      <c r="H10" s="20">
        <v>4</v>
      </c>
      <c r="I10" s="20">
        <v>4</v>
      </c>
      <c r="J10" s="20">
        <v>4</v>
      </c>
      <c r="K10" s="20">
        <v>4</v>
      </c>
      <c r="L10" s="20">
        <v>4</v>
      </c>
      <c r="M10" s="20">
        <v>4</v>
      </c>
      <c r="N10" s="20">
        <v>4</v>
      </c>
      <c r="O10" s="20">
        <v>4</v>
      </c>
      <c r="P10" s="20">
        <v>4</v>
      </c>
      <c r="Q10" s="20">
        <v>4</v>
      </c>
      <c r="R10" s="20">
        <v>4</v>
      </c>
      <c r="S10" s="20">
        <v>4</v>
      </c>
      <c r="T10" s="20">
        <v>4</v>
      </c>
      <c r="U10" s="20">
        <v>4</v>
      </c>
    </row>
    <row r="11" spans="2:21" x14ac:dyDescent="0.2">
      <c r="B11" s="17">
        <v>4</v>
      </c>
      <c r="C11" s="17">
        <v>4</v>
      </c>
      <c r="D11" s="17">
        <v>4</v>
      </c>
      <c r="E11" s="17">
        <v>4</v>
      </c>
      <c r="F11" s="17">
        <v>4</v>
      </c>
      <c r="G11" s="17">
        <v>4</v>
      </c>
      <c r="H11" s="17">
        <v>3</v>
      </c>
      <c r="I11" s="17">
        <v>4</v>
      </c>
      <c r="J11" s="17">
        <v>4</v>
      </c>
      <c r="K11" s="17">
        <v>4</v>
      </c>
      <c r="L11" s="17">
        <v>4</v>
      </c>
      <c r="M11" s="17">
        <v>4</v>
      </c>
      <c r="N11" s="17">
        <v>4</v>
      </c>
      <c r="O11" s="17">
        <v>4</v>
      </c>
      <c r="P11" s="17">
        <v>4</v>
      </c>
      <c r="Q11" s="17">
        <v>4</v>
      </c>
      <c r="R11" s="17">
        <v>4</v>
      </c>
      <c r="S11" s="17">
        <v>4</v>
      </c>
      <c r="T11" s="17">
        <v>4</v>
      </c>
      <c r="U11" s="17">
        <v>4</v>
      </c>
    </row>
    <row r="12" spans="2:21" x14ac:dyDescent="0.2">
      <c r="B12" s="20">
        <v>4</v>
      </c>
      <c r="C12" s="20">
        <v>4</v>
      </c>
      <c r="D12" s="20">
        <v>4</v>
      </c>
      <c r="E12" s="20">
        <v>4</v>
      </c>
      <c r="F12" s="20">
        <v>4</v>
      </c>
      <c r="G12" s="20">
        <v>4</v>
      </c>
      <c r="H12" s="20">
        <v>4</v>
      </c>
      <c r="I12" s="20">
        <v>3</v>
      </c>
      <c r="J12" s="20">
        <v>4</v>
      </c>
      <c r="K12" s="20">
        <v>4</v>
      </c>
      <c r="L12" s="20">
        <v>4</v>
      </c>
      <c r="M12" s="20">
        <v>4</v>
      </c>
      <c r="N12" s="20">
        <v>3</v>
      </c>
      <c r="O12" s="20">
        <v>4</v>
      </c>
      <c r="P12" s="20">
        <v>4</v>
      </c>
      <c r="Q12" s="20">
        <v>4</v>
      </c>
      <c r="R12" s="20">
        <v>4</v>
      </c>
      <c r="S12" s="20">
        <v>4</v>
      </c>
      <c r="T12" s="20">
        <v>4</v>
      </c>
      <c r="U12" s="20">
        <v>4</v>
      </c>
    </row>
    <row r="13" spans="2:21" x14ac:dyDescent="0.2">
      <c r="B13" s="17">
        <v>4</v>
      </c>
      <c r="C13" s="17">
        <v>4</v>
      </c>
      <c r="D13" s="17">
        <v>4</v>
      </c>
      <c r="E13" s="17">
        <v>4</v>
      </c>
      <c r="F13" s="17">
        <v>4</v>
      </c>
      <c r="G13" s="17">
        <v>4</v>
      </c>
      <c r="H13" s="17">
        <v>3</v>
      </c>
      <c r="I13" s="17">
        <v>4</v>
      </c>
      <c r="J13" s="17">
        <v>3</v>
      </c>
      <c r="K13" s="17">
        <v>3</v>
      </c>
      <c r="L13" s="17">
        <v>4</v>
      </c>
      <c r="M13" s="17">
        <v>4</v>
      </c>
      <c r="N13" s="17">
        <v>3</v>
      </c>
      <c r="O13" s="17">
        <v>4</v>
      </c>
      <c r="P13" s="17">
        <v>4</v>
      </c>
      <c r="Q13" s="17">
        <v>4</v>
      </c>
      <c r="R13" s="17">
        <v>4</v>
      </c>
      <c r="S13" s="17">
        <v>4</v>
      </c>
      <c r="T13" s="17">
        <v>4</v>
      </c>
      <c r="U13" s="17">
        <v>4</v>
      </c>
    </row>
    <row r="14" spans="2:21" x14ac:dyDescent="0.2">
      <c r="B14" s="20">
        <v>4</v>
      </c>
      <c r="C14" s="20">
        <v>4</v>
      </c>
      <c r="D14" s="20">
        <v>4</v>
      </c>
      <c r="E14" s="20">
        <v>4</v>
      </c>
      <c r="F14" s="20">
        <v>4</v>
      </c>
      <c r="G14" s="20">
        <v>4</v>
      </c>
      <c r="H14" s="20">
        <v>4</v>
      </c>
      <c r="I14" s="20">
        <v>4</v>
      </c>
      <c r="J14" s="20">
        <v>3</v>
      </c>
      <c r="K14" s="20">
        <v>4</v>
      </c>
      <c r="L14" s="20">
        <v>3</v>
      </c>
      <c r="M14" s="20">
        <v>4</v>
      </c>
      <c r="N14" s="20">
        <v>4</v>
      </c>
      <c r="O14" s="20">
        <v>3</v>
      </c>
      <c r="P14" s="20">
        <v>4</v>
      </c>
      <c r="Q14" s="20">
        <v>4</v>
      </c>
      <c r="R14" s="20">
        <v>4</v>
      </c>
      <c r="S14" s="20">
        <v>4</v>
      </c>
      <c r="T14" s="20">
        <v>4</v>
      </c>
      <c r="U14" s="20">
        <v>4</v>
      </c>
    </row>
    <row r="15" spans="2:21" x14ac:dyDescent="0.2">
      <c r="B15" s="17">
        <v>4</v>
      </c>
      <c r="C15" s="17">
        <v>4</v>
      </c>
      <c r="D15" s="17">
        <v>4</v>
      </c>
      <c r="E15" s="17">
        <v>4</v>
      </c>
      <c r="F15" s="17">
        <v>4</v>
      </c>
      <c r="G15" s="17">
        <v>4</v>
      </c>
      <c r="H15" s="17">
        <v>4</v>
      </c>
      <c r="I15" s="17">
        <v>4</v>
      </c>
      <c r="J15" s="17">
        <v>3</v>
      </c>
      <c r="K15" s="17">
        <v>4</v>
      </c>
      <c r="L15" s="17">
        <v>3</v>
      </c>
      <c r="M15" s="17">
        <v>3</v>
      </c>
      <c r="N15" s="17">
        <v>4</v>
      </c>
      <c r="O15" s="17">
        <v>4</v>
      </c>
      <c r="P15" s="17">
        <v>4</v>
      </c>
      <c r="Q15" s="17">
        <v>4</v>
      </c>
      <c r="R15" s="17">
        <v>4</v>
      </c>
      <c r="S15" s="17">
        <v>3</v>
      </c>
      <c r="T15" s="17">
        <v>4</v>
      </c>
      <c r="U15" s="17">
        <v>4</v>
      </c>
    </row>
    <row r="16" spans="2:21" x14ac:dyDescent="0.2">
      <c r="B16" s="20">
        <v>4</v>
      </c>
      <c r="C16" s="20">
        <v>4</v>
      </c>
      <c r="D16" s="20">
        <v>4</v>
      </c>
      <c r="E16" s="20">
        <v>3</v>
      </c>
      <c r="F16" s="20">
        <v>4</v>
      </c>
      <c r="G16" s="20">
        <v>4</v>
      </c>
      <c r="H16" s="20">
        <v>4</v>
      </c>
      <c r="I16" s="20">
        <v>4</v>
      </c>
      <c r="J16" s="20">
        <v>3</v>
      </c>
      <c r="K16" s="20">
        <v>4</v>
      </c>
      <c r="L16" s="20">
        <v>3</v>
      </c>
      <c r="M16" s="20">
        <v>3</v>
      </c>
      <c r="N16" s="20">
        <v>4</v>
      </c>
      <c r="O16" s="20">
        <v>4</v>
      </c>
      <c r="P16" s="20">
        <v>4</v>
      </c>
      <c r="Q16" s="20">
        <v>4</v>
      </c>
      <c r="R16" s="20">
        <v>4</v>
      </c>
      <c r="S16" s="20">
        <v>4</v>
      </c>
      <c r="T16" s="20">
        <v>4</v>
      </c>
      <c r="U16" s="20">
        <v>4</v>
      </c>
    </row>
    <row r="17" spans="1:21" x14ac:dyDescent="0.2">
      <c r="B17" s="17">
        <v>4</v>
      </c>
      <c r="C17" s="17">
        <v>4</v>
      </c>
      <c r="D17" s="17">
        <v>4</v>
      </c>
      <c r="E17" s="17">
        <v>4</v>
      </c>
      <c r="F17" s="17">
        <v>4</v>
      </c>
      <c r="G17" s="17">
        <v>4</v>
      </c>
      <c r="H17" s="17">
        <v>4</v>
      </c>
      <c r="I17" s="17">
        <v>3</v>
      </c>
      <c r="J17" s="17">
        <v>3</v>
      </c>
      <c r="K17" s="17">
        <v>4</v>
      </c>
      <c r="L17" s="17">
        <v>3</v>
      </c>
      <c r="M17" s="17">
        <v>4</v>
      </c>
      <c r="N17" s="17">
        <v>4</v>
      </c>
      <c r="O17" s="17">
        <v>3</v>
      </c>
      <c r="P17" s="17">
        <v>4</v>
      </c>
      <c r="Q17" s="17">
        <v>4</v>
      </c>
      <c r="R17" s="17">
        <v>4</v>
      </c>
      <c r="S17" s="17">
        <v>4</v>
      </c>
      <c r="T17" s="17">
        <v>4</v>
      </c>
      <c r="U17" s="17">
        <v>4</v>
      </c>
    </row>
    <row r="18" spans="1:21" x14ac:dyDescent="0.2">
      <c r="B18" s="20">
        <v>4</v>
      </c>
      <c r="C18" s="20">
        <v>4</v>
      </c>
      <c r="D18" s="20">
        <v>4</v>
      </c>
      <c r="E18" s="20">
        <v>4</v>
      </c>
      <c r="F18" s="20">
        <v>4</v>
      </c>
      <c r="G18" s="20">
        <v>3</v>
      </c>
      <c r="H18" s="20">
        <v>4</v>
      </c>
      <c r="I18" s="20">
        <v>4</v>
      </c>
      <c r="J18" s="20">
        <v>4</v>
      </c>
      <c r="K18" s="20">
        <v>4</v>
      </c>
      <c r="L18" s="20">
        <v>4</v>
      </c>
      <c r="M18" s="20">
        <v>4</v>
      </c>
      <c r="N18" s="20">
        <v>4</v>
      </c>
      <c r="O18" s="20">
        <v>4</v>
      </c>
      <c r="P18" s="20">
        <v>4</v>
      </c>
      <c r="Q18" s="20">
        <v>4</v>
      </c>
      <c r="R18" s="20">
        <v>4</v>
      </c>
      <c r="S18" s="20">
        <v>4</v>
      </c>
      <c r="T18" s="20">
        <v>4</v>
      </c>
      <c r="U18" s="20">
        <v>4</v>
      </c>
    </row>
    <row r="19" spans="1:21" x14ac:dyDescent="0.2">
      <c r="B19" s="17">
        <v>4</v>
      </c>
      <c r="C19" s="17">
        <v>4</v>
      </c>
      <c r="D19" s="17">
        <v>3</v>
      </c>
      <c r="E19" s="17">
        <v>4</v>
      </c>
      <c r="F19" s="17">
        <v>3</v>
      </c>
      <c r="G19" s="17">
        <v>4</v>
      </c>
      <c r="H19" s="17">
        <v>4</v>
      </c>
      <c r="I19" s="17">
        <v>4</v>
      </c>
      <c r="J19" s="17">
        <v>4</v>
      </c>
      <c r="K19" s="17">
        <v>3</v>
      </c>
      <c r="L19" s="17">
        <v>4</v>
      </c>
      <c r="M19" s="17">
        <v>4</v>
      </c>
      <c r="N19" s="17">
        <v>4</v>
      </c>
      <c r="O19" s="17">
        <v>4</v>
      </c>
      <c r="P19" s="17">
        <v>4</v>
      </c>
      <c r="Q19" s="17">
        <v>4</v>
      </c>
      <c r="R19" s="17">
        <v>3</v>
      </c>
      <c r="S19" s="17">
        <v>4</v>
      </c>
      <c r="T19" s="17">
        <v>4</v>
      </c>
      <c r="U19" s="17">
        <v>4</v>
      </c>
    </row>
    <row r="20" spans="1:21" x14ac:dyDescent="0.2">
      <c r="B20" s="20">
        <v>4</v>
      </c>
      <c r="C20" s="20">
        <v>4</v>
      </c>
      <c r="D20" s="20">
        <v>4</v>
      </c>
      <c r="E20" s="20">
        <v>4</v>
      </c>
      <c r="F20" s="20">
        <v>4</v>
      </c>
      <c r="G20" s="20">
        <v>3</v>
      </c>
      <c r="H20" s="20">
        <v>4</v>
      </c>
      <c r="I20" s="20">
        <v>4</v>
      </c>
      <c r="J20" s="20">
        <v>4</v>
      </c>
      <c r="K20" s="20">
        <v>4</v>
      </c>
      <c r="L20" s="20">
        <v>4</v>
      </c>
      <c r="M20" s="20">
        <v>4</v>
      </c>
      <c r="N20" s="20">
        <v>3</v>
      </c>
      <c r="O20" s="20">
        <v>4</v>
      </c>
      <c r="P20" s="20">
        <v>4</v>
      </c>
      <c r="Q20" s="20">
        <v>4</v>
      </c>
      <c r="R20" s="20">
        <v>4</v>
      </c>
      <c r="S20" s="20">
        <v>4</v>
      </c>
      <c r="T20" s="20">
        <v>3</v>
      </c>
      <c r="U20" s="20">
        <v>4</v>
      </c>
    </row>
    <row r="21" spans="1:21" x14ac:dyDescent="0.2">
      <c r="B21" s="17">
        <v>4</v>
      </c>
      <c r="C21" s="17">
        <v>4</v>
      </c>
      <c r="D21" s="17">
        <v>3</v>
      </c>
      <c r="E21" s="17">
        <v>4</v>
      </c>
      <c r="F21" s="17">
        <v>4</v>
      </c>
      <c r="G21" s="17">
        <v>4</v>
      </c>
      <c r="H21" s="17">
        <v>3</v>
      </c>
      <c r="I21" s="17">
        <v>3</v>
      </c>
      <c r="J21" s="17">
        <v>4</v>
      </c>
      <c r="K21" s="17">
        <v>4</v>
      </c>
      <c r="L21" s="17">
        <v>4</v>
      </c>
      <c r="M21" s="17">
        <v>4</v>
      </c>
      <c r="N21" s="17">
        <v>3</v>
      </c>
      <c r="O21" s="17">
        <v>4</v>
      </c>
      <c r="P21" s="17">
        <v>4</v>
      </c>
      <c r="Q21" s="17">
        <v>4</v>
      </c>
      <c r="R21" s="17">
        <v>4</v>
      </c>
      <c r="S21" s="17">
        <v>4</v>
      </c>
      <c r="T21" s="17">
        <v>4</v>
      </c>
      <c r="U21" s="17">
        <v>4</v>
      </c>
    </row>
    <row r="22" spans="1:21" x14ac:dyDescent="0.2">
      <c r="B22" s="20">
        <v>4</v>
      </c>
      <c r="C22" s="20">
        <v>4</v>
      </c>
      <c r="D22" s="20">
        <v>4</v>
      </c>
      <c r="E22" s="20">
        <v>4</v>
      </c>
      <c r="F22" s="20">
        <v>4</v>
      </c>
      <c r="G22" s="20">
        <v>4</v>
      </c>
      <c r="H22" s="20">
        <v>3</v>
      </c>
      <c r="I22" s="20">
        <v>3</v>
      </c>
      <c r="J22" s="20">
        <v>3</v>
      </c>
      <c r="K22" s="20">
        <v>3</v>
      </c>
      <c r="L22" s="20">
        <v>4</v>
      </c>
      <c r="M22" s="20">
        <v>3</v>
      </c>
      <c r="N22" s="20">
        <v>3</v>
      </c>
      <c r="O22" s="20">
        <v>3</v>
      </c>
      <c r="P22" s="20">
        <v>3</v>
      </c>
      <c r="Q22" s="20">
        <v>4</v>
      </c>
      <c r="R22" s="20">
        <v>4</v>
      </c>
      <c r="S22" s="20">
        <v>4</v>
      </c>
      <c r="T22" s="20">
        <v>4</v>
      </c>
      <c r="U22" s="20">
        <v>4</v>
      </c>
    </row>
    <row r="23" spans="1:21" x14ac:dyDescent="0.2">
      <c r="B23" s="17">
        <v>4</v>
      </c>
      <c r="C23" s="17">
        <v>4</v>
      </c>
      <c r="D23" s="17">
        <v>4</v>
      </c>
      <c r="E23" s="17">
        <v>4</v>
      </c>
      <c r="F23" s="17">
        <v>4</v>
      </c>
      <c r="G23" s="17">
        <v>4</v>
      </c>
      <c r="H23" s="17">
        <v>4</v>
      </c>
      <c r="I23" s="17">
        <v>4</v>
      </c>
      <c r="J23" s="17">
        <v>3</v>
      </c>
      <c r="K23" s="17">
        <v>3</v>
      </c>
      <c r="L23" s="17">
        <v>4</v>
      </c>
      <c r="M23" s="17">
        <v>4</v>
      </c>
      <c r="N23" s="17">
        <v>3</v>
      </c>
      <c r="O23" s="17">
        <v>4</v>
      </c>
      <c r="P23" s="17">
        <v>4</v>
      </c>
      <c r="Q23" s="17">
        <v>4</v>
      </c>
      <c r="R23" s="17">
        <v>4</v>
      </c>
      <c r="S23" s="17">
        <v>4</v>
      </c>
      <c r="T23" s="17">
        <v>4</v>
      </c>
      <c r="U23" s="17">
        <v>4</v>
      </c>
    </row>
    <row r="24" spans="1:21" x14ac:dyDescent="0.2">
      <c r="B24" s="20">
        <v>4</v>
      </c>
      <c r="C24" s="20">
        <v>4</v>
      </c>
      <c r="D24" s="20">
        <v>4</v>
      </c>
      <c r="E24" s="20">
        <v>4</v>
      </c>
      <c r="F24" s="20">
        <v>4</v>
      </c>
      <c r="G24" s="20">
        <v>4</v>
      </c>
      <c r="H24" s="20">
        <v>4</v>
      </c>
      <c r="I24" s="20">
        <v>4</v>
      </c>
      <c r="J24" s="20">
        <v>3</v>
      </c>
      <c r="K24" s="20">
        <v>3</v>
      </c>
      <c r="L24" s="20">
        <v>4</v>
      </c>
      <c r="M24" s="20">
        <v>4</v>
      </c>
      <c r="N24" s="20">
        <v>4</v>
      </c>
      <c r="O24" s="20">
        <v>4</v>
      </c>
      <c r="P24" s="20">
        <v>4</v>
      </c>
      <c r="Q24" s="20">
        <v>4</v>
      </c>
      <c r="R24" s="20">
        <v>4</v>
      </c>
      <c r="S24" s="20">
        <v>4</v>
      </c>
      <c r="T24" s="20">
        <v>4</v>
      </c>
      <c r="U24" s="20">
        <v>4</v>
      </c>
    </row>
    <row r="25" spans="1:21" x14ac:dyDescent="0.2">
      <c r="B25" s="19">
        <v>4</v>
      </c>
      <c r="C25" s="19">
        <v>4</v>
      </c>
      <c r="D25" s="19">
        <v>4</v>
      </c>
      <c r="E25" s="19">
        <v>4</v>
      </c>
      <c r="F25" s="19">
        <v>4</v>
      </c>
      <c r="G25" s="19">
        <v>4</v>
      </c>
      <c r="H25" s="19">
        <v>4</v>
      </c>
      <c r="I25" s="19">
        <v>4</v>
      </c>
      <c r="J25" s="19">
        <v>4</v>
      </c>
      <c r="K25" s="19">
        <v>4</v>
      </c>
      <c r="L25" s="19">
        <v>4</v>
      </c>
      <c r="M25" s="19">
        <v>4</v>
      </c>
      <c r="N25" s="19">
        <v>4</v>
      </c>
      <c r="O25" s="19">
        <v>4</v>
      </c>
      <c r="P25" s="19">
        <v>4</v>
      </c>
      <c r="Q25" s="19">
        <v>4</v>
      </c>
      <c r="R25" s="19">
        <v>4</v>
      </c>
      <c r="S25" s="19">
        <v>4</v>
      </c>
      <c r="T25" s="19">
        <v>4</v>
      </c>
      <c r="U25" s="19">
        <v>4</v>
      </c>
    </row>
    <row r="26" spans="1:21" x14ac:dyDescent="0.2">
      <c r="B26" s="18">
        <v>4</v>
      </c>
      <c r="C26" s="18">
        <v>4</v>
      </c>
      <c r="D26" s="18">
        <v>4</v>
      </c>
      <c r="E26" s="18">
        <v>3</v>
      </c>
      <c r="F26" s="18">
        <v>3</v>
      </c>
      <c r="G26" s="18">
        <v>4</v>
      </c>
      <c r="H26" s="18">
        <v>3</v>
      </c>
      <c r="I26" s="18">
        <v>4</v>
      </c>
      <c r="J26" s="18">
        <v>3</v>
      </c>
      <c r="K26" s="18">
        <v>4</v>
      </c>
      <c r="L26" s="18">
        <v>3</v>
      </c>
      <c r="M26" s="18">
        <v>3</v>
      </c>
      <c r="N26" s="18">
        <v>3</v>
      </c>
      <c r="O26" s="18">
        <v>3</v>
      </c>
      <c r="P26" s="18">
        <v>4</v>
      </c>
      <c r="Q26" s="18">
        <v>4</v>
      </c>
      <c r="R26" s="18">
        <v>4</v>
      </c>
      <c r="S26" s="18">
        <v>3</v>
      </c>
      <c r="T26" s="18">
        <v>4</v>
      </c>
      <c r="U26" s="18">
        <v>3</v>
      </c>
    </row>
    <row r="27" spans="1:21" x14ac:dyDescent="0.2">
      <c r="B27" s="19">
        <v>3</v>
      </c>
      <c r="C27" s="19">
        <v>4</v>
      </c>
      <c r="D27" s="19">
        <v>4</v>
      </c>
      <c r="E27" s="19">
        <v>4</v>
      </c>
      <c r="F27" s="19">
        <v>4</v>
      </c>
      <c r="G27" s="19">
        <v>4</v>
      </c>
      <c r="H27" s="19">
        <v>3</v>
      </c>
      <c r="I27" s="19">
        <v>4</v>
      </c>
      <c r="J27" s="19">
        <v>4</v>
      </c>
      <c r="K27" s="19">
        <v>4</v>
      </c>
      <c r="L27" s="19">
        <v>4</v>
      </c>
      <c r="M27" s="19">
        <v>4</v>
      </c>
      <c r="N27" s="19">
        <v>4</v>
      </c>
      <c r="O27" s="19">
        <v>4</v>
      </c>
      <c r="P27" s="19">
        <v>4</v>
      </c>
      <c r="Q27" s="19">
        <v>4</v>
      </c>
      <c r="R27" s="19">
        <v>4</v>
      </c>
      <c r="S27" s="19">
        <v>4</v>
      </c>
      <c r="T27" s="19">
        <v>4</v>
      </c>
      <c r="U27" s="19">
        <v>3</v>
      </c>
    </row>
    <row r="28" spans="1:21" x14ac:dyDescent="0.2">
      <c r="B28" s="18">
        <v>4</v>
      </c>
      <c r="C28" s="18">
        <v>4</v>
      </c>
      <c r="D28" s="18">
        <v>3</v>
      </c>
      <c r="E28" s="18">
        <v>4</v>
      </c>
      <c r="F28" s="18">
        <v>4</v>
      </c>
      <c r="G28" s="18">
        <v>4</v>
      </c>
      <c r="H28" s="18">
        <v>4</v>
      </c>
      <c r="I28" s="18">
        <v>4</v>
      </c>
      <c r="J28" s="18">
        <v>4</v>
      </c>
      <c r="K28" s="18">
        <v>4</v>
      </c>
      <c r="L28" s="18">
        <v>4</v>
      </c>
      <c r="M28" s="18">
        <v>4</v>
      </c>
      <c r="N28" s="18">
        <v>4</v>
      </c>
      <c r="O28" s="18">
        <v>4</v>
      </c>
      <c r="P28" s="18">
        <v>4</v>
      </c>
      <c r="Q28" s="18">
        <v>4</v>
      </c>
      <c r="R28" s="18">
        <v>4</v>
      </c>
      <c r="S28" s="18">
        <v>4</v>
      </c>
      <c r="T28" s="18">
        <v>4</v>
      </c>
      <c r="U28" s="18">
        <v>4</v>
      </c>
    </row>
    <row r="29" spans="1:21" x14ac:dyDescent="0.2">
      <c r="B29" s="19">
        <v>4</v>
      </c>
      <c r="C29" s="19">
        <v>4</v>
      </c>
      <c r="D29" s="19">
        <v>4</v>
      </c>
      <c r="E29" s="19">
        <v>4</v>
      </c>
      <c r="F29" s="19">
        <v>4</v>
      </c>
      <c r="G29" s="19">
        <v>4</v>
      </c>
      <c r="H29" s="19">
        <v>4</v>
      </c>
      <c r="I29" s="19">
        <v>4</v>
      </c>
      <c r="J29" s="19">
        <v>4</v>
      </c>
      <c r="K29" s="19">
        <v>4</v>
      </c>
      <c r="L29" s="19">
        <v>4</v>
      </c>
      <c r="M29" s="19">
        <v>4</v>
      </c>
      <c r="N29" s="19">
        <v>4</v>
      </c>
      <c r="O29" s="19">
        <v>4</v>
      </c>
      <c r="P29" s="19">
        <v>4</v>
      </c>
      <c r="Q29" s="19">
        <v>4</v>
      </c>
      <c r="R29" s="19">
        <v>4</v>
      </c>
      <c r="S29" s="19">
        <v>4</v>
      </c>
      <c r="T29" s="19">
        <v>4</v>
      </c>
      <c r="U29" s="19">
        <v>4</v>
      </c>
    </row>
    <row r="30" spans="1:21" x14ac:dyDescent="0.2">
      <c r="B30" s="21">
        <v>4</v>
      </c>
      <c r="C30" s="21">
        <v>4</v>
      </c>
      <c r="D30" s="21">
        <v>4</v>
      </c>
      <c r="E30" s="21">
        <v>4</v>
      </c>
      <c r="F30" s="21">
        <v>4</v>
      </c>
      <c r="G30" s="21">
        <v>4</v>
      </c>
      <c r="H30" s="21">
        <v>4</v>
      </c>
      <c r="I30" s="21">
        <v>4</v>
      </c>
      <c r="J30" s="21">
        <v>4</v>
      </c>
      <c r="K30" s="21">
        <v>4</v>
      </c>
      <c r="L30" s="21">
        <v>4</v>
      </c>
      <c r="M30" s="21">
        <v>4</v>
      </c>
      <c r="N30" s="21">
        <v>4</v>
      </c>
      <c r="O30" s="21">
        <v>4</v>
      </c>
      <c r="P30" s="21">
        <v>4</v>
      </c>
      <c r="Q30" s="21">
        <v>4</v>
      </c>
      <c r="R30" s="21">
        <v>4</v>
      </c>
      <c r="S30" s="21">
        <v>4</v>
      </c>
      <c r="T30" s="21">
        <v>4</v>
      </c>
      <c r="U30" s="21">
        <v>4</v>
      </c>
    </row>
    <row r="31" spans="1:21" x14ac:dyDescent="0.2">
      <c r="A31" s="10" t="s">
        <v>126</v>
      </c>
      <c r="B31">
        <f>_xlfn.VAR.P(B1:B30)</f>
        <v>3.2222222222222222E-2</v>
      </c>
      <c r="C31">
        <f>_xlfn.VAR.P(C1:C30)</f>
        <v>0</v>
      </c>
      <c r="D31">
        <f t="shared" ref="D31:U31" si="0">_xlfn.VAR.P(D1:D30)</f>
        <v>9.0000000000000011E-2</v>
      </c>
      <c r="E31">
        <f t="shared" si="0"/>
        <v>9.0000000000000024E-2</v>
      </c>
      <c r="F31">
        <f t="shared" si="0"/>
        <v>6.222222222222222E-2</v>
      </c>
      <c r="G31">
        <f t="shared" si="0"/>
        <v>6.222222222222222E-2</v>
      </c>
      <c r="H31">
        <f t="shared" si="0"/>
        <v>0.19555555555555557</v>
      </c>
      <c r="I31">
        <f t="shared" si="0"/>
        <v>0.17888888888888888</v>
      </c>
      <c r="J31">
        <f t="shared" si="0"/>
        <v>0.23222222222222222</v>
      </c>
      <c r="K31">
        <f t="shared" si="0"/>
        <v>0.19555555555555557</v>
      </c>
      <c r="L31">
        <f t="shared" si="0"/>
        <v>0.16</v>
      </c>
      <c r="M31">
        <f t="shared" si="0"/>
        <v>0.13888888888888887</v>
      </c>
      <c r="N31">
        <f t="shared" si="0"/>
        <v>0.22222222222222221</v>
      </c>
      <c r="O31">
        <f t="shared" si="0"/>
        <v>0.22222222222222221</v>
      </c>
      <c r="P31">
        <f t="shared" si="0"/>
        <v>6.222222222222222E-2</v>
      </c>
      <c r="Q31">
        <f t="shared" si="0"/>
        <v>3.2222222222222187E-2</v>
      </c>
      <c r="R31">
        <f t="shared" si="0"/>
        <v>9.000000000000008E-2</v>
      </c>
      <c r="S31">
        <f t="shared" si="0"/>
        <v>9.0000000000000024E-2</v>
      </c>
      <c r="T31">
        <f t="shared" si="0"/>
        <v>6.222222222222222E-2</v>
      </c>
      <c r="U31">
        <f t="shared" si="0"/>
        <v>9.0000000000000024E-2</v>
      </c>
    </row>
    <row r="32" spans="1:21" x14ac:dyDescent="0.2">
      <c r="A32" s="10" t="s">
        <v>127</v>
      </c>
      <c r="B32">
        <f>SUM(31:31)</f>
        <v>2.3088888888888883</v>
      </c>
    </row>
    <row r="33" spans="1:2" x14ac:dyDescent="0.2">
      <c r="A33" s="10" t="s">
        <v>128</v>
      </c>
      <c r="B33">
        <f>SUM(1:1)</f>
        <v>80</v>
      </c>
    </row>
    <row r="34" spans="1:2" x14ac:dyDescent="0.2">
      <c r="B34">
        <f t="shared" ref="B34:B70" si="1">SUM(2:2)</f>
        <v>80</v>
      </c>
    </row>
    <row r="35" spans="1:2" x14ac:dyDescent="0.2">
      <c r="B35">
        <f t="shared" si="1"/>
        <v>79</v>
      </c>
    </row>
    <row r="36" spans="1:2" x14ac:dyDescent="0.2">
      <c r="B36">
        <f t="shared" si="1"/>
        <v>72</v>
      </c>
    </row>
    <row r="37" spans="1:2" x14ac:dyDescent="0.2">
      <c r="B37">
        <f t="shared" si="1"/>
        <v>77</v>
      </c>
    </row>
    <row r="38" spans="1:2" x14ac:dyDescent="0.2">
      <c r="B38">
        <f t="shared" si="1"/>
        <v>75</v>
      </c>
    </row>
    <row r="39" spans="1:2" x14ac:dyDescent="0.2">
      <c r="B39">
        <f t="shared" si="1"/>
        <v>78</v>
      </c>
    </row>
    <row r="40" spans="1:2" x14ac:dyDescent="0.2">
      <c r="B40">
        <f t="shared" si="1"/>
        <v>74</v>
      </c>
    </row>
    <row r="41" spans="1:2" x14ac:dyDescent="0.2">
      <c r="B41">
        <f t="shared" si="1"/>
        <v>76</v>
      </c>
    </row>
    <row r="42" spans="1:2" x14ac:dyDescent="0.2">
      <c r="B42">
        <f t="shared" si="1"/>
        <v>80</v>
      </c>
    </row>
    <row r="43" spans="1:2" x14ac:dyDescent="0.2">
      <c r="B43">
        <f t="shared" si="1"/>
        <v>79</v>
      </c>
    </row>
    <row r="44" spans="1:2" x14ac:dyDescent="0.2">
      <c r="B44">
        <f t="shared" si="1"/>
        <v>78</v>
      </c>
    </row>
    <row r="45" spans="1:2" x14ac:dyDescent="0.2">
      <c r="B45">
        <f t="shared" si="1"/>
        <v>76</v>
      </c>
    </row>
    <row r="46" spans="1:2" x14ac:dyDescent="0.2">
      <c r="B46">
        <f t="shared" si="1"/>
        <v>77</v>
      </c>
    </row>
    <row r="47" spans="1:2" x14ac:dyDescent="0.2">
      <c r="B47">
        <f t="shared" si="1"/>
        <v>76</v>
      </c>
    </row>
    <row r="48" spans="1:2" x14ac:dyDescent="0.2">
      <c r="B48">
        <f t="shared" si="1"/>
        <v>76</v>
      </c>
    </row>
    <row r="49" spans="1:2" x14ac:dyDescent="0.2">
      <c r="B49">
        <f t="shared" si="1"/>
        <v>76</v>
      </c>
    </row>
    <row r="50" spans="1:2" x14ac:dyDescent="0.2">
      <c r="B50">
        <f t="shared" si="1"/>
        <v>79</v>
      </c>
    </row>
    <row r="51" spans="1:2" x14ac:dyDescent="0.2">
      <c r="B51">
        <f t="shared" si="1"/>
        <v>76</v>
      </c>
    </row>
    <row r="52" spans="1:2" x14ac:dyDescent="0.2">
      <c r="B52">
        <f t="shared" si="1"/>
        <v>77</v>
      </c>
    </row>
    <row r="53" spans="1:2" x14ac:dyDescent="0.2">
      <c r="B53">
        <f t="shared" si="1"/>
        <v>76</v>
      </c>
    </row>
    <row r="54" spans="1:2" x14ac:dyDescent="0.2">
      <c r="B54">
        <f t="shared" si="1"/>
        <v>72</v>
      </c>
    </row>
    <row r="55" spans="1:2" x14ac:dyDescent="0.2">
      <c r="B55">
        <f t="shared" si="1"/>
        <v>77</v>
      </c>
    </row>
    <row r="56" spans="1:2" x14ac:dyDescent="0.2">
      <c r="B56">
        <f t="shared" si="1"/>
        <v>78</v>
      </c>
    </row>
    <row r="57" spans="1:2" x14ac:dyDescent="0.2">
      <c r="B57">
        <f t="shared" si="1"/>
        <v>80</v>
      </c>
    </row>
    <row r="58" spans="1:2" x14ac:dyDescent="0.2">
      <c r="B58">
        <f t="shared" si="1"/>
        <v>70</v>
      </c>
    </row>
    <row r="59" spans="1:2" x14ac:dyDescent="0.2">
      <c r="B59">
        <f t="shared" si="1"/>
        <v>77</v>
      </c>
    </row>
    <row r="60" spans="1:2" x14ac:dyDescent="0.2">
      <c r="B60">
        <f t="shared" si="1"/>
        <v>79</v>
      </c>
    </row>
    <row r="61" spans="1:2" x14ac:dyDescent="0.2">
      <c r="B61">
        <f t="shared" si="1"/>
        <v>80</v>
      </c>
    </row>
    <row r="62" spans="1:2" x14ac:dyDescent="0.2">
      <c r="B62">
        <f t="shared" si="1"/>
        <v>80</v>
      </c>
    </row>
    <row r="64" spans="1:2" x14ac:dyDescent="0.2">
      <c r="A64" s="10" t="s">
        <v>129</v>
      </c>
      <c r="B64">
        <f>_xlfn.VAR.P(B33:B62)</f>
        <v>6.4</v>
      </c>
    </row>
    <row r="65" spans="1:2" x14ac:dyDescent="0.2">
      <c r="A65" s="10" t="s">
        <v>130</v>
      </c>
      <c r="B65">
        <v>20</v>
      </c>
    </row>
    <row r="66" spans="1:2" x14ac:dyDescent="0.2">
      <c r="A66" t="s">
        <v>131</v>
      </c>
      <c r="B66">
        <f>SUM(31:31)</f>
        <v>2.3088888888888883</v>
      </c>
    </row>
    <row r="67" spans="1:2" x14ac:dyDescent="0.2">
      <c r="A67" t="s">
        <v>132</v>
      </c>
      <c r="B67">
        <f>B64</f>
        <v>6.4</v>
      </c>
    </row>
    <row r="69" spans="1:2" x14ac:dyDescent="0.2">
      <c r="A69" s="10" t="s">
        <v>133</v>
      </c>
      <c r="B69">
        <f>(B65/(B65-1))*(1-(B66/B67))</f>
        <v>0.67288011695906447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Charts</vt:lpstr>
      </vt:variant>
      <vt:variant>
        <vt:i4>1</vt:i4>
      </vt:variant>
    </vt:vector>
  </HeadingPairs>
  <TitlesOfParts>
    <vt:vector size="3" baseType="lpstr">
      <vt:lpstr>Form Responses 1</vt:lpstr>
      <vt:lpstr>Sheet1</vt:lpstr>
      <vt:lpstr>Chart1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Vincent Kenutama Prasetyo</cp:lastModifiedBy>
  <dcterms:modified xsi:type="dcterms:W3CDTF">2025-08-20T15:14:09Z</dcterms:modified>
</cp:coreProperties>
</file>