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Dokumen\TAS\Analisis Data\"/>
    </mc:Choice>
  </mc:AlternateContent>
  <xr:revisionPtr revIDLastSave="0" documentId="13_ncr:1_{00015121-F8A4-4210-99AA-7B9455BFADCC}" xr6:coauthVersionLast="47" xr6:coauthVersionMax="47" xr10:uidLastSave="{00000000-0000-0000-0000-000000000000}"/>
  <bookViews>
    <workbookView xWindow="13635" yWindow="0" windowWidth="15270" windowHeight="15585" xr2:uid="{D420C1E2-998D-4C0B-BA4B-5669A704E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22" i="1"/>
  <c r="J18" i="1"/>
  <c r="E27" i="1"/>
  <c r="D27" i="1"/>
  <c r="B30" i="1" s="1"/>
  <c r="J15" i="1"/>
  <c r="H18" i="1"/>
  <c r="H17" i="1"/>
  <c r="H16" i="1"/>
  <c r="H15" i="1"/>
  <c r="K26" i="1"/>
  <c r="H24" i="1"/>
  <c r="H23" i="1"/>
  <c r="H22" i="1"/>
  <c r="H21" i="1"/>
  <c r="H29" i="1"/>
  <c r="H28" i="1"/>
  <c r="H27" i="1"/>
  <c r="H26" i="1"/>
  <c r="K21" i="1"/>
  <c r="K8" i="1"/>
  <c r="H3" i="1"/>
  <c r="H2" i="1"/>
  <c r="H6" i="1" s="1"/>
  <c r="H5" i="1" l="1"/>
  <c r="H8" i="1" s="1"/>
</calcChain>
</file>

<file path=xl/sharedStrings.xml><?xml version="1.0" encoding="utf-8"?>
<sst xmlns="http://schemas.openxmlformats.org/spreadsheetml/2006/main" count="37" uniqueCount="25">
  <si>
    <t>No</t>
  </si>
  <si>
    <t>Aspek Penilaian</t>
  </si>
  <si>
    <t>Butir</t>
  </si>
  <si>
    <t>Skor Ahli 1</t>
  </si>
  <si>
    <t>Skor Ahli 2</t>
  </si>
  <si>
    <t>Relevansi Materi dengan Tujuan Pembelajaran</t>
  </si>
  <si>
    <t>Penyajian</t>
  </si>
  <si>
    <t>Bahasa</t>
  </si>
  <si>
    <t>Persentase</t>
  </si>
  <si>
    <t>smax</t>
  </si>
  <si>
    <t>smin</t>
  </si>
  <si>
    <t>Sbi</t>
  </si>
  <si>
    <t>Xi + 1,8 * Sbi</t>
  </si>
  <si>
    <t>Xi</t>
  </si>
  <si>
    <t>Indikator 1</t>
  </si>
  <si>
    <t>Ahli 1</t>
  </si>
  <si>
    <t>Ahli 2</t>
  </si>
  <si>
    <t>Min</t>
  </si>
  <si>
    <t>Maks</t>
  </si>
  <si>
    <t>Indikator 2</t>
  </si>
  <si>
    <t>Ahli 2l</t>
  </si>
  <si>
    <t>Avg</t>
  </si>
  <si>
    <t>Indikator 3</t>
  </si>
  <si>
    <t>Total Skor</t>
  </si>
  <si>
    <t>Persentase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</si>
</sst>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Rerata Hasil Validasi Materi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Relevansi Materi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Sheet1!$J$15</c:f>
              <c:numCache>
                <c:formatCode>General</c:formatCode>
                <c:ptCount val="1"/>
                <c:pt idx="0">
                  <c:v>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2-445B-8E74-BAAE15100E35}"/>
            </c:ext>
          </c:extLst>
        </c:ser>
        <c:ser>
          <c:idx val="1"/>
          <c:order val="1"/>
          <c:tx>
            <c:v>Penyajian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Sheet1!$K$21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2-445B-8E74-BAAE15100E35}"/>
            </c:ext>
          </c:extLst>
        </c:ser>
        <c:ser>
          <c:idx val="2"/>
          <c:order val="2"/>
          <c:tx>
            <c:v>Bahasa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D2-445B-8E74-BAAE15100E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213071"/>
        <c:axId val="1452210191"/>
      </c:barChart>
      <c:catAx>
        <c:axId val="14522130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Aspek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452210191"/>
        <c:crosses val="autoZero"/>
        <c:auto val="1"/>
        <c:lblAlgn val="ctr"/>
        <c:lblOffset val="100"/>
        <c:noMultiLvlLbl val="0"/>
      </c:catAx>
      <c:valAx>
        <c:axId val="14522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Rerata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Hasil Validasi Materi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Relevansi Materi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Sheet1!$J$18</c:f>
              <c:numCache>
                <c:formatCode>0.00%</c:formatCode>
                <c:ptCount val="1"/>
                <c:pt idx="0">
                  <c:v>0.90625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2-445B-8E74-BAAE15100E35}"/>
            </c:ext>
          </c:extLst>
        </c:ser>
        <c:ser>
          <c:idx val="1"/>
          <c:order val="1"/>
          <c:tx>
            <c:v>Penyajian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Sheet1!$K$22</c:f>
              <c:numCache>
                <c:formatCode>0.00%</c:formatCode>
                <c:ptCount val="1"/>
                <c:pt idx="0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2-445B-8E74-BAAE15100E35}"/>
            </c:ext>
          </c:extLst>
        </c:ser>
        <c:ser>
          <c:idx val="2"/>
          <c:order val="2"/>
          <c:tx>
            <c:v>Bahasa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Sheet1!$K$27</c:f>
              <c:numCache>
                <c:formatCode>0.00%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D2-445B-8E74-BAAE15100E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213071"/>
        <c:axId val="1452210191"/>
      </c:barChart>
      <c:catAx>
        <c:axId val="14522130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Aspek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452210191"/>
        <c:crosses val="autoZero"/>
        <c:auto val="1"/>
        <c:lblAlgn val="ctr"/>
        <c:lblOffset val="100"/>
        <c:noMultiLvlLbl val="0"/>
      </c:catAx>
      <c:valAx>
        <c:axId val="14522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Persentase Penilaian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138112</xdr:rowOff>
    </xdr:from>
    <xdr:to>
      <xdr:col>6</xdr:col>
      <xdr:colOff>190500</xdr:colOff>
      <xdr:row>45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E661C-92B1-757B-7595-BCFA03C79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61912</xdr:rowOff>
    </xdr:from>
    <xdr:to>
      <xdr:col>6</xdr:col>
      <xdr:colOff>190500</xdr:colOff>
      <xdr:row>63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BC1D2B-49EF-E3A9-2849-FFC2ACB67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C273-9B4F-44DF-9575-24AD74025D0F}">
  <dimension ref="A1:K30"/>
  <sheetViews>
    <sheetView tabSelected="1" topLeftCell="A6" workbookViewId="0">
      <selection activeCell="K28" sqref="K28"/>
    </sheetView>
  </sheetViews>
  <sheetFormatPr defaultRowHeight="15" x14ac:dyDescent="0.25"/>
  <cols>
    <col min="6" max="6" width="20" customWidth="1"/>
    <col min="7" max="7" width="20.85546875" customWidth="1"/>
    <col min="10" max="10" width="12" customWidth="1"/>
  </cols>
  <sheetData>
    <row r="1" spans="1:11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8" t="s">
        <v>2</v>
      </c>
      <c r="H1">
        <v>25</v>
      </c>
    </row>
    <row r="2" spans="1:11" ht="15.75" customHeight="1" thickBot="1" x14ac:dyDescent="0.3">
      <c r="A2" s="5">
        <v>1</v>
      </c>
      <c r="B2" s="5" t="s">
        <v>5</v>
      </c>
      <c r="C2" s="3">
        <v>1</v>
      </c>
      <c r="D2" s="3">
        <v>4</v>
      </c>
      <c r="E2" s="3">
        <v>4</v>
      </c>
      <c r="G2" t="s">
        <v>9</v>
      </c>
      <c r="H2">
        <f>4*H1</f>
        <v>100</v>
      </c>
    </row>
    <row r="3" spans="1:11" ht="15.75" thickBot="1" x14ac:dyDescent="0.3">
      <c r="A3" s="4"/>
      <c r="B3" s="4"/>
      <c r="C3" s="3">
        <v>2</v>
      </c>
      <c r="D3" s="3">
        <v>4</v>
      </c>
      <c r="E3" s="3">
        <v>4</v>
      </c>
      <c r="G3" t="s">
        <v>10</v>
      </c>
      <c r="H3">
        <f>1*H1</f>
        <v>25</v>
      </c>
    </row>
    <row r="4" spans="1:11" ht="15.75" thickBot="1" x14ac:dyDescent="0.3">
      <c r="A4" s="4"/>
      <c r="B4" s="4"/>
      <c r="C4" s="3">
        <v>3</v>
      </c>
      <c r="D4" s="3">
        <v>3</v>
      </c>
      <c r="E4" s="3">
        <v>4</v>
      </c>
    </row>
    <row r="5" spans="1:11" ht="15.75" thickBot="1" x14ac:dyDescent="0.3">
      <c r="A5" s="4"/>
      <c r="B5" s="4"/>
      <c r="C5" s="3">
        <v>4</v>
      </c>
      <c r="D5" s="3">
        <v>3</v>
      </c>
      <c r="E5" s="3">
        <v>3</v>
      </c>
      <c r="G5" t="s">
        <v>11</v>
      </c>
      <c r="H5">
        <f>(H2-H3)/6</f>
        <v>12.5</v>
      </c>
    </row>
    <row r="6" spans="1:11" ht="15.75" thickBot="1" x14ac:dyDescent="0.3">
      <c r="A6" s="4"/>
      <c r="B6" s="4"/>
      <c r="C6" s="3">
        <v>5</v>
      </c>
      <c r="D6" s="3">
        <v>4</v>
      </c>
      <c r="E6" s="3">
        <v>3</v>
      </c>
      <c r="G6" t="s">
        <v>13</v>
      </c>
      <c r="H6">
        <f>(H2+H3)/2</f>
        <v>62.5</v>
      </c>
    </row>
    <row r="7" spans="1:11" ht="15.75" thickBot="1" x14ac:dyDescent="0.3">
      <c r="A7" s="4"/>
      <c r="B7" s="4"/>
      <c r="C7" s="3">
        <v>6</v>
      </c>
      <c r="D7" s="3">
        <v>3</v>
      </c>
      <c r="E7" s="3">
        <v>4</v>
      </c>
    </row>
    <row r="8" spans="1:11" ht="15.75" thickBot="1" x14ac:dyDescent="0.3">
      <c r="A8" s="4"/>
      <c r="B8" s="4"/>
      <c r="C8" s="3">
        <v>7</v>
      </c>
      <c r="D8" s="3">
        <v>4</v>
      </c>
      <c r="E8" s="3">
        <v>4</v>
      </c>
      <c r="G8" t="s">
        <v>12</v>
      </c>
      <c r="H8">
        <f xml:space="preserve"> H6+1.8*H5</f>
        <v>85</v>
      </c>
      <c r="J8" t="s">
        <v>8</v>
      </c>
      <c r="K8">
        <f>H8/H1*4</f>
        <v>13.6</v>
      </c>
    </row>
    <row r="9" spans="1:11" ht="15.75" thickBot="1" x14ac:dyDescent="0.3">
      <c r="A9" s="4"/>
      <c r="B9" s="4"/>
      <c r="C9" s="3">
        <v>8</v>
      </c>
      <c r="D9" s="3">
        <v>4</v>
      </c>
      <c r="E9" s="3">
        <v>4</v>
      </c>
    </row>
    <row r="10" spans="1:11" ht="15.75" thickBot="1" x14ac:dyDescent="0.3">
      <c r="A10" s="4"/>
      <c r="B10" s="4"/>
      <c r="C10" s="3">
        <v>9</v>
      </c>
      <c r="D10" s="3">
        <v>4</v>
      </c>
      <c r="E10" s="3">
        <v>4</v>
      </c>
    </row>
    <row r="11" spans="1:11" ht="15.75" thickBot="1" x14ac:dyDescent="0.3">
      <c r="A11" s="4"/>
      <c r="B11" s="4"/>
      <c r="C11" s="3">
        <v>10</v>
      </c>
      <c r="D11" s="3">
        <v>3</v>
      </c>
      <c r="E11" s="3">
        <v>3</v>
      </c>
    </row>
    <row r="12" spans="1:11" ht="15.75" thickBot="1" x14ac:dyDescent="0.3">
      <c r="A12" s="4"/>
      <c r="B12" s="4"/>
      <c r="C12" s="3">
        <v>11</v>
      </c>
      <c r="D12" s="3">
        <v>3</v>
      </c>
      <c r="E12" s="3">
        <v>3</v>
      </c>
    </row>
    <row r="13" spans="1:11" ht="15.75" thickBot="1" x14ac:dyDescent="0.3">
      <c r="A13" s="6"/>
      <c r="B13" s="6"/>
      <c r="C13" s="3">
        <v>12</v>
      </c>
      <c r="D13" s="3">
        <v>4</v>
      </c>
      <c r="E13" s="3">
        <v>4</v>
      </c>
    </row>
    <row r="14" spans="1:11" ht="15.75" thickBot="1" x14ac:dyDescent="0.3">
      <c r="A14" s="5">
        <v>2</v>
      </c>
      <c r="B14" s="5" t="s">
        <v>6</v>
      </c>
      <c r="C14" s="3">
        <v>13</v>
      </c>
      <c r="D14" s="3">
        <v>4</v>
      </c>
      <c r="E14" s="3">
        <v>4</v>
      </c>
    </row>
    <row r="15" spans="1:11" ht="15.75" thickBot="1" x14ac:dyDescent="0.3">
      <c r="A15" s="4"/>
      <c r="B15" s="4"/>
      <c r="C15" s="3">
        <v>14</v>
      </c>
      <c r="D15" s="3">
        <v>4</v>
      </c>
      <c r="E15" s="3">
        <v>4</v>
      </c>
      <c r="F15" t="s">
        <v>14</v>
      </c>
      <c r="G15" t="s">
        <v>15</v>
      </c>
      <c r="H15">
        <f>SUM(D2:D13)</f>
        <v>43</v>
      </c>
      <c r="J15">
        <f>AVERAGE(H15:H16)</f>
        <v>43.5</v>
      </c>
    </row>
    <row r="16" spans="1:11" ht="15.75" thickBot="1" x14ac:dyDescent="0.3">
      <c r="A16" s="4"/>
      <c r="B16" s="4"/>
      <c r="C16" s="3">
        <v>15</v>
      </c>
      <c r="D16" s="3">
        <v>3</v>
      </c>
      <c r="E16" s="3">
        <v>3</v>
      </c>
      <c r="G16" t="s">
        <v>16</v>
      </c>
      <c r="H16">
        <f>SUM(E2:E13)</f>
        <v>44</v>
      </c>
    </row>
    <row r="17" spans="1:11" ht="15.75" thickBot="1" x14ac:dyDescent="0.3">
      <c r="A17" s="4"/>
      <c r="B17" s="4"/>
      <c r="C17" s="3">
        <v>16</v>
      </c>
      <c r="D17" s="3">
        <v>4</v>
      </c>
      <c r="E17" s="3">
        <v>4</v>
      </c>
      <c r="G17" t="s">
        <v>17</v>
      </c>
      <c r="H17" s="9">
        <f>COUNT(D2:D13)</f>
        <v>12</v>
      </c>
    </row>
    <row r="18" spans="1:11" ht="15.75" thickBot="1" x14ac:dyDescent="0.3">
      <c r="A18" s="4"/>
      <c r="B18" s="4"/>
      <c r="C18" s="3">
        <v>17</v>
      </c>
      <c r="D18" s="3">
        <v>4</v>
      </c>
      <c r="E18" s="3">
        <v>4</v>
      </c>
      <c r="G18" t="s">
        <v>18</v>
      </c>
      <c r="H18" s="7">
        <f>4*COUNT(D2:D13)</f>
        <v>48</v>
      </c>
      <c r="J18" s="13">
        <f>J15/H18</f>
        <v>0.90625</v>
      </c>
    </row>
    <row r="19" spans="1:11" ht="15.75" thickBot="1" x14ac:dyDescent="0.3">
      <c r="A19" s="4"/>
      <c r="B19" s="4"/>
      <c r="C19" s="3">
        <v>18</v>
      </c>
      <c r="D19" s="3">
        <v>3</v>
      </c>
      <c r="E19" s="3">
        <v>4</v>
      </c>
    </row>
    <row r="20" spans="1:11" ht="15.75" thickBot="1" x14ac:dyDescent="0.3">
      <c r="A20" s="4"/>
      <c r="B20" s="4"/>
      <c r="C20" s="3">
        <v>19</v>
      </c>
      <c r="D20" s="3">
        <v>4</v>
      </c>
      <c r="E20" s="3">
        <v>4</v>
      </c>
    </row>
    <row r="21" spans="1:11" ht="15.75" thickBot="1" x14ac:dyDescent="0.3">
      <c r="A21" s="6"/>
      <c r="B21" s="6"/>
      <c r="C21" s="3">
        <v>20</v>
      </c>
      <c r="D21" s="3">
        <v>4</v>
      </c>
      <c r="E21" s="3">
        <v>3</v>
      </c>
      <c r="F21" t="s">
        <v>19</v>
      </c>
      <c r="G21" t="s">
        <v>15</v>
      </c>
      <c r="H21">
        <f>SUM(D14:D21)</f>
        <v>30</v>
      </c>
      <c r="J21" t="s">
        <v>21</v>
      </c>
      <c r="K21">
        <f>AVERAGE(H21:H22)</f>
        <v>30</v>
      </c>
    </row>
    <row r="22" spans="1:11" ht="15.75" thickBot="1" x14ac:dyDescent="0.3">
      <c r="A22" s="5">
        <v>3</v>
      </c>
      <c r="B22" s="5" t="s">
        <v>7</v>
      </c>
      <c r="C22" s="3">
        <v>21</v>
      </c>
      <c r="D22" s="3">
        <v>3</v>
      </c>
      <c r="E22" s="3">
        <v>4</v>
      </c>
      <c r="G22" t="s">
        <v>20</v>
      </c>
      <c r="H22">
        <f>SUM(E14:E21)</f>
        <v>30</v>
      </c>
      <c r="J22" t="s">
        <v>8</v>
      </c>
      <c r="K22" s="13">
        <f>K21/H24</f>
        <v>0.9375</v>
      </c>
    </row>
    <row r="23" spans="1:11" ht="15.75" thickBot="1" x14ac:dyDescent="0.3">
      <c r="A23" s="4"/>
      <c r="B23" s="4"/>
      <c r="C23" s="3">
        <v>22</v>
      </c>
      <c r="D23" s="3">
        <v>4</v>
      </c>
      <c r="E23" s="3">
        <v>4</v>
      </c>
      <c r="G23" t="s">
        <v>17</v>
      </c>
      <c r="H23">
        <f>COUNT(D14:D21)</f>
        <v>8</v>
      </c>
    </row>
    <row r="24" spans="1:11" ht="15.75" thickBot="1" x14ac:dyDescent="0.3">
      <c r="A24" s="4"/>
      <c r="B24" s="4"/>
      <c r="C24" s="3">
        <v>23</v>
      </c>
      <c r="D24" s="3">
        <v>3</v>
      </c>
      <c r="E24" s="3">
        <v>4</v>
      </c>
      <c r="G24" t="s">
        <v>18</v>
      </c>
      <c r="H24">
        <f>4*COUNT(D14:D21)</f>
        <v>32</v>
      </c>
    </row>
    <row r="25" spans="1:11" ht="15.75" thickBot="1" x14ac:dyDescent="0.3">
      <c r="A25" s="4"/>
      <c r="B25" s="4"/>
      <c r="C25" s="3">
        <v>24</v>
      </c>
      <c r="D25" s="3">
        <v>4</v>
      </c>
      <c r="E25" s="3">
        <v>4</v>
      </c>
    </row>
    <row r="26" spans="1:11" ht="15.75" thickBot="1" x14ac:dyDescent="0.3">
      <c r="A26" s="6"/>
      <c r="B26" s="6"/>
      <c r="C26" s="3">
        <v>25</v>
      </c>
      <c r="D26" s="3">
        <v>4</v>
      </c>
      <c r="E26" s="3">
        <v>4</v>
      </c>
      <c r="F26" t="s">
        <v>22</v>
      </c>
      <c r="G26" t="s">
        <v>15</v>
      </c>
      <c r="H26">
        <f>SUM(D22:D26)</f>
        <v>18</v>
      </c>
      <c r="J26" t="s">
        <v>21</v>
      </c>
      <c r="K26">
        <f>AVERAGE(H26:H27)</f>
        <v>19</v>
      </c>
    </row>
    <row r="27" spans="1:11" ht="15.75" thickBot="1" x14ac:dyDescent="0.3">
      <c r="A27" s="10" t="s">
        <v>23</v>
      </c>
      <c r="B27" s="11"/>
      <c r="C27" s="12"/>
      <c r="D27" s="3">
        <f>SUM(D2:D26)</f>
        <v>91</v>
      </c>
      <c r="E27" s="3">
        <f>SUM(E2:E26)</f>
        <v>94</v>
      </c>
      <c r="G27" t="s">
        <v>20</v>
      </c>
      <c r="H27">
        <f>SUM(E22:E26)</f>
        <v>20</v>
      </c>
      <c r="J27" t="s">
        <v>8</v>
      </c>
      <c r="K27" s="13">
        <f>K26/H29</f>
        <v>0.95</v>
      </c>
    </row>
    <row r="28" spans="1:11" ht="15.75" thickBot="1" x14ac:dyDescent="0.3">
      <c r="A28" s="10" t="s">
        <v>24</v>
      </c>
      <c r="B28" s="11"/>
      <c r="C28" s="12"/>
      <c r="D28" s="3">
        <v>91</v>
      </c>
      <c r="E28" s="3">
        <v>94</v>
      </c>
      <c r="G28" t="s">
        <v>17</v>
      </c>
      <c r="H28">
        <f>COUNT(D22:D26)</f>
        <v>5</v>
      </c>
    </row>
    <row r="29" spans="1:11" x14ac:dyDescent="0.25">
      <c r="G29" t="s">
        <v>18</v>
      </c>
      <c r="H29">
        <f>4*COUNT(D22:D26)</f>
        <v>20</v>
      </c>
    </row>
    <row r="30" spans="1:11" x14ac:dyDescent="0.25">
      <c r="A30" t="s">
        <v>21</v>
      </c>
      <c r="B30">
        <f>AVERAGE(D27:E27)</f>
        <v>92.5</v>
      </c>
    </row>
  </sheetData>
  <mergeCells count="8">
    <mergeCell ref="A27:C27"/>
    <mergeCell ref="A28:C28"/>
    <mergeCell ref="A2:A13"/>
    <mergeCell ref="B2:B13"/>
    <mergeCell ref="A14:A21"/>
    <mergeCell ref="B14:B21"/>
    <mergeCell ref="A22:A26"/>
    <mergeCell ref="B22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Kenutama Prasetyo</dc:creator>
  <cp:lastModifiedBy>Vincent Kenutama Prasetyo</cp:lastModifiedBy>
  <dcterms:created xsi:type="dcterms:W3CDTF">2025-08-20T02:43:40Z</dcterms:created>
  <dcterms:modified xsi:type="dcterms:W3CDTF">2025-08-20T04:29:07Z</dcterms:modified>
</cp:coreProperties>
</file>